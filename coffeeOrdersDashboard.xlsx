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pivotTables/pivotTable5.xml" ContentType="application/vnd.openxmlformats-officedocument.spreadsheetml.pivotTable+xml"/>
  <Override PartName="/xl/drawings/drawing4.xml" ContentType="application/vnd.openxmlformats-officedocument.drawing+xml"/>
  <Override PartName="/xl/pivotTables/pivotTable6.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Professional DA\Excel\Projects\Coffee Order Project\"/>
    </mc:Choice>
  </mc:AlternateContent>
  <xr:revisionPtr revIDLastSave="0" documentId="13_ncr:1_{13F946BF-4E3D-4CBD-801C-53B5741B5C57}" xr6:coauthVersionLast="47" xr6:coauthVersionMax="47" xr10:uidLastSave="{00000000-0000-0000-0000-000000000000}"/>
  <bookViews>
    <workbookView showSheetTabs="0" xWindow="-108" yWindow="-108" windowWidth="23256" windowHeight="12576" firstSheet="4" activeTab="10" xr2:uid="{00000000-000D-0000-FFFF-FFFF00000000}"/>
  </bookViews>
  <sheets>
    <sheet name="Total_Sales" sheetId="18" r:id="rId1"/>
    <sheet name="Total_Sales_Value" sheetId="22" r:id="rId2"/>
    <sheet name="Top_Cofee" sheetId="25" r:id="rId3"/>
    <sheet name="Top_Month" sheetId="23" r:id="rId4"/>
    <sheet name="Total _Customer" sheetId="24" r:id="rId5"/>
    <sheet name="Country_Bar_Chart" sheetId="19" r:id="rId6"/>
    <sheet name="Customer_Bar_Char" sheetId="20" r:id="rId7"/>
    <sheet name="orders" sheetId="17" r:id="rId8"/>
    <sheet name="customers" sheetId="13" r:id="rId9"/>
    <sheet name="products" sheetId="2" r:id="rId10"/>
    <sheet name="dashboard" sheetId="21" r:id="rId11"/>
  </sheets>
  <definedNames>
    <definedName name="_xlnm._FilterDatabase" localSheetId="7" hidden="1">orders!$A$1:$M$1001</definedName>
    <definedName name="_xlnm._FilterDatabase" localSheetId="9" hidden="1">products!$A$1:$G$49</definedName>
    <definedName name="NativeTimeline_Order_Date">#N/A</definedName>
    <definedName name="Slicer_Coffee_Type_Name">#N/A</definedName>
    <definedName name="Slicer_Loyalty_Card">#N/A</definedName>
    <definedName name="Slicer_Roast_Type_Name">#N/A</definedName>
    <definedName name="Slicer_Size">#N/A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09" i="24"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J3" i="17"/>
  <c r="K3" i="17"/>
  <c r="L3" i="17"/>
  <c r="I4" i="17"/>
  <c r="J4" i="17"/>
  <c r="K4" i="17"/>
  <c r="L4" i="17"/>
  <c r="I5" i="17"/>
  <c r="N5" i="17" s="1"/>
  <c r="J5" i="17"/>
  <c r="K5" i="17"/>
  <c r="L5" i="17"/>
  <c r="I6" i="17"/>
  <c r="J6" i="17"/>
  <c r="K6" i="17"/>
  <c r="L6" i="17"/>
  <c r="I7" i="17"/>
  <c r="J7" i="17"/>
  <c r="K7" i="17"/>
  <c r="L7" i="17"/>
  <c r="M7" i="17" s="1"/>
  <c r="I8" i="17"/>
  <c r="N8" i="17" s="1"/>
  <c r="J8" i="17"/>
  <c r="O8" i="17" s="1"/>
  <c r="K8" i="17"/>
  <c r="L8" i="17"/>
  <c r="I9" i="17"/>
  <c r="J9" i="17"/>
  <c r="K9" i="17"/>
  <c r="L9" i="17"/>
  <c r="I10" i="17"/>
  <c r="J10" i="17"/>
  <c r="O10" i="17" s="1"/>
  <c r="K10" i="17"/>
  <c r="L10" i="17"/>
  <c r="M10" i="17" s="1"/>
  <c r="I11" i="17"/>
  <c r="J11" i="17"/>
  <c r="O11" i="17" s="1"/>
  <c r="K11" i="17"/>
  <c r="L11" i="17"/>
  <c r="I12" i="17"/>
  <c r="J12" i="17"/>
  <c r="K12" i="17"/>
  <c r="L12" i="17"/>
  <c r="I13" i="17"/>
  <c r="J13" i="17"/>
  <c r="O13" i="17" s="1"/>
  <c r="K13" i="17"/>
  <c r="L13" i="17"/>
  <c r="M13" i="17" s="1"/>
  <c r="I14" i="17"/>
  <c r="J14" i="17"/>
  <c r="K14" i="17"/>
  <c r="L14" i="17"/>
  <c r="I15" i="17"/>
  <c r="J15" i="17"/>
  <c r="K15" i="17"/>
  <c r="L15" i="17"/>
  <c r="I16" i="17"/>
  <c r="J16" i="17"/>
  <c r="O16" i="17" s="1"/>
  <c r="K16" i="17"/>
  <c r="L16" i="17"/>
  <c r="M16" i="17" s="1"/>
  <c r="I17" i="17"/>
  <c r="N17" i="17" s="1"/>
  <c r="J17" i="17"/>
  <c r="K17" i="17"/>
  <c r="L17" i="17"/>
  <c r="I18" i="17"/>
  <c r="J18" i="17"/>
  <c r="K18" i="17"/>
  <c r="L18" i="17"/>
  <c r="I19" i="17"/>
  <c r="J19" i="17"/>
  <c r="O19" i="17" s="1"/>
  <c r="K19" i="17"/>
  <c r="L19" i="17"/>
  <c r="M19" i="17" s="1"/>
  <c r="I20" i="17"/>
  <c r="N20" i="17" s="1"/>
  <c r="J20" i="17"/>
  <c r="K20" i="17"/>
  <c r="L20" i="17"/>
  <c r="I21" i="17"/>
  <c r="J21" i="17"/>
  <c r="K21" i="17"/>
  <c r="L21" i="17"/>
  <c r="I22" i="17"/>
  <c r="J22" i="17"/>
  <c r="O22" i="17" s="1"/>
  <c r="K22" i="17"/>
  <c r="L22" i="17"/>
  <c r="M22" i="17" s="1"/>
  <c r="I23" i="17"/>
  <c r="J23" i="17"/>
  <c r="O23" i="17" s="1"/>
  <c r="K23" i="17"/>
  <c r="L23" i="17"/>
  <c r="I24" i="17"/>
  <c r="J24" i="17"/>
  <c r="K24" i="17"/>
  <c r="L24" i="17"/>
  <c r="I25" i="17"/>
  <c r="J25" i="17"/>
  <c r="O25" i="17" s="1"/>
  <c r="K25" i="17"/>
  <c r="L25" i="17"/>
  <c r="M25" i="17" s="1"/>
  <c r="I26" i="17"/>
  <c r="J26" i="17"/>
  <c r="K26" i="17"/>
  <c r="L26" i="17"/>
  <c r="I27" i="17"/>
  <c r="J27" i="17"/>
  <c r="K27" i="17"/>
  <c r="L27" i="17"/>
  <c r="I28" i="17"/>
  <c r="J28" i="17"/>
  <c r="K28" i="17"/>
  <c r="L28" i="17"/>
  <c r="M28" i="17" s="1"/>
  <c r="I29" i="17"/>
  <c r="N29" i="17" s="1"/>
  <c r="J29" i="17"/>
  <c r="K29" i="17"/>
  <c r="L29" i="17"/>
  <c r="I30" i="17"/>
  <c r="J30" i="17"/>
  <c r="K30" i="17"/>
  <c r="L30" i="17"/>
  <c r="I31" i="17"/>
  <c r="J31" i="17"/>
  <c r="O31" i="17" s="1"/>
  <c r="K31" i="17"/>
  <c r="L31" i="17"/>
  <c r="I32" i="17"/>
  <c r="N32" i="17" s="1"/>
  <c r="J32" i="17"/>
  <c r="K32" i="17"/>
  <c r="L32" i="17"/>
  <c r="I33" i="17"/>
  <c r="J33" i="17"/>
  <c r="K33" i="17"/>
  <c r="L33" i="17"/>
  <c r="I34" i="17"/>
  <c r="J34" i="17"/>
  <c r="O34" i="17" s="1"/>
  <c r="K34" i="17"/>
  <c r="L34" i="17"/>
  <c r="M34" i="17" s="1"/>
  <c r="I35" i="17"/>
  <c r="J35" i="17"/>
  <c r="O35" i="17" s="1"/>
  <c r="K35" i="17"/>
  <c r="L35" i="17"/>
  <c r="I36" i="17"/>
  <c r="J36" i="17"/>
  <c r="K36" i="17"/>
  <c r="L36" i="17"/>
  <c r="I37" i="17"/>
  <c r="J37" i="17"/>
  <c r="O37" i="17" s="1"/>
  <c r="K37" i="17"/>
  <c r="L37" i="17"/>
  <c r="M37" i="17" s="1"/>
  <c r="I38" i="17"/>
  <c r="J38" i="17"/>
  <c r="K38" i="17"/>
  <c r="L38" i="17"/>
  <c r="I39" i="17"/>
  <c r="J39" i="17"/>
  <c r="K39" i="17"/>
  <c r="L39" i="17"/>
  <c r="I40" i="17"/>
  <c r="J40" i="17"/>
  <c r="K40" i="17"/>
  <c r="L40" i="17"/>
  <c r="M40" i="17" s="1"/>
  <c r="I41" i="17"/>
  <c r="J41" i="17"/>
  <c r="K41" i="17"/>
  <c r="L41" i="17"/>
  <c r="I42" i="17"/>
  <c r="J42" i="17"/>
  <c r="K42" i="17"/>
  <c r="L42" i="17"/>
  <c r="I43" i="17"/>
  <c r="J43" i="17"/>
  <c r="K43" i="17"/>
  <c r="L43" i="17"/>
  <c r="M43" i="17" s="1"/>
  <c r="I44" i="17"/>
  <c r="N44" i="17" s="1"/>
  <c r="J44" i="17"/>
  <c r="K44" i="17"/>
  <c r="L44" i="17"/>
  <c r="I45" i="17"/>
  <c r="J45" i="17"/>
  <c r="K45" i="17"/>
  <c r="L45" i="17"/>
  <c r="I46" i="17"/>
  <c r="J46" i="17"/>
  <c r="O46" i="17" s="1"/>
  <c r="K46" i="17"/>
  <c r="L46" i="17"/>
  <c r="M46" i="17" s="1"/>
  <c r="I47" i="17"/>
  <c r="N47" i="17" s="1"/>
  <c r="J47" i="17"/>
  <c r="O47" i="17" s="1"/>
  <c r="K47" i="17"/>
  <c r="L47" i="17"/>
  <c r="I48" i="17"/>
  <c r="J48" i="17"/>
  <c r="K48" i="17"/>
  <c r="L48" i="17"/>
  <c r="I49" i="17"/>
  <c r="J49" i="17"/>
  <c r="O49" i="17" s="1"/>
  <c r="K49" i="17"/>
  <c r="L49" i="17"/>
  <c r="M49" i="17" s="1"/>
  <c r="I50" i="17"/>
  <c r="J50" i="17"/>
  <c r="K50" i="17"/>
  <c r="L50" i="17"/>
  <c r="I51" i="17"/>
  <c r="J51" i="17"/>
  <c r="K51" i="17"/>
  <c r="L51" i="17"/>
  <c r="I52" i="17"/>
  <c r="J52" i="17"/>
  <c r="O52" i="17" s="1"/>
  <c r="K52" i="17"/>
  <c r="L52" i="17"/>
  <c r="M52" i="17" s="1"/>
  <c r="I53" i="17"/>
  <c r="J53" i="17"/>
  <c r="K53" i="17"/>
  <c r="L53" i="17"/>
  <c r="I54" i="17"/>
  <c r="J54" i="17"/>
  <c r="K54" i="17"/>
  <c r="L54" i="17"/>
  <c r="I55" i="17"/>
  <c r="J55" i="17"/>
  <c r="K55" i="17"/>
  <c r="L55" i="17"/>
  <c r="M55" i="17" s="1"/>
  <c r="I56" i="17"/>
  <c r="N56" i="17" s="1"/>
  <c r="J56" i="17"/>
  <c r="K56" i="17"/>
  <c r="L56" i="17"/>
  <c r="I57" i="17"/>
  <c r="J57" i="17"/>
  <c r="K57" i="17"/>
  <c r="L57" i="17"/>
  <c r="I58" i="17"/>
  <c r="J58" i="17"/>
  <c r="O58" i="17" s="1"/>
  <c r="K58" i="17"/>
  <c r="L58" i="17"/>
  <c r="M58" i="17" s="1"/>
  <c r="I59" i="17"/>
  <c r="N59" i="17" s="1"/>
  <c r="J59" i="17"/>
  <c r="O59" i="17" s="1"/>
  <c r="K59" i="17"/>
  <c r="L59" i="17"/>
  <c r="I60" i="17"/>
  <c r="J60" i="17"/>
  <c r="K60" i="17"/>
  <c r="L60" i="17"/>
  <c r="I61" i="17"/>
  <c r="J61" i="17"/>
  <c r="O61" i="17" s="1"/>
  <c r="K61" i="17"/>
  <c r="L61" i="17"/>
  <c r="M61" i="17" s="1"/>
  <c r="I62" i="17"/>
  <c r="J62" i="17"/>
  <c r="K62" i="17"/>
  <c r="L62" i="17"/>
  <c r="I63" i="17"/>
  <c r="J63" i="17"/>
  <c r="K63" i="17"/>
  <c r="L63" i="17"/>
  <c r="I64" i="17"/>
  <c r="J64" i="17"/>
  <c r="O64" i="17" s="1"/>
  <c r="K64" i="17"/>
  <c r="L64" i="17"/>
  <c r="M64" i="17" s="1"/>
  <c r="I65" i="17"/>
  <c r="J65" i="17"/>
  <c r="K65" i="17"/>
  <c r="L65" i="17"/>
  <c r="I66" i="17"/>
  <c r="J66" i="17"/>
  <c r="K66" i="17"/>
  <c r="L66" i="17"/>
  <c r="I67" i="17"/>
  <c r="J67" i="17"/>
  <c r="O67" i="17" s="1"/>
  <c r="K67" i="17"/>
  <c r="L67" i="17"/>
  <c r="M67" i="17" s="1"/>
  <c r="I68" i="17"/>
  <c r="N68" i="17" s="1"/>
  <c r="J68" i="17"/>
  <c r="K68" i="17"/>
  <c r="L68" i="17"/>
  <c r="I69" i="17"/>
  <c r="J69" i="17"/>
  <c r="K69" i="17"/>
  <c r="L69" i="17"/>
  <c r="I70" i="17"/>
  <c r="J70" i="17"/>
  <c r="O70" i="17" s="1"/>
  <c r="K70" i="17"/>
  <c r="L70" i="17"/>
  <c r="M70" i="17" s="1"/>
  <c r="I71" i="17"/>
  <c r="N71" i="17" s="1"/>
  <c r="J71" i="17"/>
  <c r="O71" i="17" s="1"/>
  <c r="K71" i="17"/>
  <c r="L71" i="17"/>
  <c r="I72" i="17"/>
  <c r="J72" i="17"/>
  <c r="K72" i="17"/>
  <c r="L72" i="17"/>
  <c r="I73" i="17"/>
  <c r="J73" i="17"/>
  <c r="O73" i="17" s="1"/>
  <c r="K73" i="17"/>
  <c r="L73" i="17"/>
  <c r="M73" i="17" s="1"/>
  <c r="I74" i="17"/>
  <c r="N74" i="17" s="1"/>
  <c r="J74" i="17"/>
  <c r="K74" i="17"/>
  <c r="L74" i="17"/>
  <c r="I75" i="17"/>
  <c r="J75" i="17"/>
  <c r="K75" i="17"/>
  <c r="L75" i="17"/>
  <c r="I76" i="17"/>
  <c r="J76" i="17"/>
  <c r="K76" i="17"/>
  <c r="L76" i="17"/>
  <c r="M76" i="17" s="1"/>
  <c r="I77" i="17"/>
  <c r="J77" i="17"/>
  <c r="K77" i="17"/>
  <c r="L77" i="17"/>
  <c r="I78" i="17"/>
  <c r="J78" i="17"/>
  <c r="K78" i="17"/>
  <c r="L78" i="17"/>
  <c r="I79" i="17"/>
  <c r="J79" i="17"/>
  <c r="O79" i="17" s="1"/>
  <c r="K79" i="17"/>
  <c r="L79" i="17"/>
  <c r="M79" i="17" s="1"/>
  <c r="I80" i="17"/>
  <c r="N80" i="17" s="1"/>
  <c r="J80" i="17"/>
  <c r="K80" i="17"/>
  <c r="L80" i="17"/>
  <c r="I81" i="17"/>
  <c r="J81" i="17"/>
  <c r="K81" i="17"/>
  <c r="L81" i="17"/>
  <c r="I82" i="17"/>
  <c r="J82" i="17"/>
  <c r="O82" i="17" s="1"/>
  <c r="K82" i="17"/>
  <c r="L82" i="17"/>
  <c r="M82" i="17" s="1"/>
  <c r="I83" i="17"/>
  <c r="N83" i="17" s="1"/>
  <c r="J83" i="17"/>
  <c r="O83" i="17" s="1"/>
  <c r="K83" i="17"/>
  <c r="L83" i="17"/>
  <c r="I84" i="17"/>
  <c r="J84" i="17"/>
  <c r="K84" i="17"/>
  <c r="L84" i="17"/>
  <c r="I85" i="17"/>
  <c r="J85" i="17"/>
  <c r="O85" i="17" s="1"/>
  <c r="K85" i="17"/>
  <c r="L85" i="17"/>
  <c r="I86" i="17"/>
  <c r="N86" i="17" s="1"/>
  <c r="J86" i="17"/>
  <c r="K86" i="17"/>
  <c r="L86" i="17"/>
  <c r="I87" i="17"/>
  <c r="J87" i="17"/>
  <c r="K87" i="17"/>
  <c r="L87" i="17"/>
  <c r="I88" i="17"/>
  <c r="J88" i="17"/>
  <c r="O88" i="17" s="1"/>
  <c r="K88" i="17"/>
  <c r="L88" i="17"/>
  <c r="M88" i="17" s="1"/>
  <c r="I89" i="17"/>
  <c r="J89" i="17"/>
  <c r="K89" i="17"/>
  <c r="L89" i="17"/>
  <c r="I90" i="17"/>
  <c r="J90" i="17"/>
  <c r="K90" i="17"/>
  <c r="L90" i="17"/>
  <c r="I91" i="17"/>
  <c r="J91" i="17"/>
  <c r="K91" i="17"/>
  <c r="L91" i="17"/>
  <c r="M91" i="17" s="1"/>
  <c r="I92" i="17"/>
  <c r="N92" i="17" s="1"/>
  <c r="J92" i="17"/>
  <c r="K92" i="17"/>
  <c r="L92" i="17"/>
  <c r="I93" i="17"/>
  <c r="J93" i="17"/>
  <c r="K93" i="17"/>
  <c r="L93" i="17"/>
  <c r="I94" i="17"/>
  <c r="J94" i="17"/>
  <c r="O94" i="17" s="1"/>
  <c r="K94" i="17"/>
  <c r="L94" i="17"/>
  <c r="M94" i="17" s="1"/>
  <c r="I95" i="17"/>
  <c r="J95" i="17"/>
  <c r="O95" i="17" s="1"/>
  <c r="K95" i="17"/>
  <c r="L95" i="17"/>
  <c r="I96" i="17"/>
  <c r="J96" i="17"/>
  <c r="K96" i="17"/>
  <c r="L96" i="17"/>
  <c r="I97" i="17"/>
  <c r="J97" i="17"/>
  <c r="O97" i="17" s="1"/>
  <c r="K97" i="17"/>
  <c r="L97" i="17"/>
  <c r="I98" i="17"/>
  <c r="N98" i="17" s="1"/>
  <c r="J98" i="17"/>
  <c r="K98" i="17"/>
  <c r="L98" i="17"/>
  <c r="I99" i="17"/>
  <c r="J99" i="17"/>
  <c r="K99" i="17"/>
  <c r="L99" i="17"/>
  <c r="I100" i="17"/>
  <c r="J100" i="17"/>
  <c r="O100" i="17" s="1"/>
  <c r="K100" i="17"/>
  <c r="L100" i="17"/>
  <c r="I101" i="17"/>
  <c r="N101" i="17" s="1"/>
  <c r="J101" i="17"/>
  <c r="K101" i="17"/>
  <c r="L101" i="17"/>
  <c r="I102" i="17"/>
  <c r="J102" i="17"/>
  <c r="K102" i="17"/>
  <c r="L102" i="17"/>
  <c r="I103" i="17"/>
  <c r="J103" i="17"/>
  <c r="O103" i="17" s="1"/>
  <c r="K103" i="17"/>
  <c r="L103" i="17"/>
  <c r="M103" i="17" s="1"/>
  <c r="I104" i="17"/>
  <c r="N104" i="17" s="1"/>
  <c r="J104" i="17"/>
  <c r="K104" i="17"/>
  <c r="L104" i="17"/>
  <c r="I105" i="17"/>
  <c r="J105" i="17"/>
  <c r="K105" i="17"/>
  <c r="L105" i="17"/>
  <c r="I106" i="17"/>
  <c r="J106" i="17"/>
  <c r="O106" i="17" s="1"/>
  <c r="K106" i="17"/>
  <c r="L106" i="17"/>
  <c r="M106" i="17" s="1"/>
  <c r="I107" i="17"/>
  <c r="J107" i="17"/>
  <c r="O107" i="17" s="1"/>
  <c r="K107" i="17"/>
  <c r="L107" i="17"/>
  <c r="I108" i="17"/>
  <c r="J108" i="17"/>
  <c r="K108" i="17"/>
  <c r="L108" i="17"/>
  <c r="I109" i="17"/>
  <c r="J109" i="17"/>
  <c r="O109" i="17" s="1"/>
  <c r="K109" i="17"/>
  <c r="L109" i="17"/>
  <c r="M109" i="17" s="1"/>
  <c r="I110" i="17"/>
  <c r="N110" i="17" s="1"/>
  <c r="J110" i="17"/>
  <c r="K110" i="17"/>
  <c r="L110" i="17"/>
  <c r="I111" i="17"/>
  <c r="J111" i="17"/>
  <c r="K111" i="17"/>
  <c r="L111" i="17"/>
  <c r="I112" i="17"/>
  <c r="J112" i="17"/>
  <c r="O112" i="17" s="1"/>
  <c r="K112" i="17"/>
  <c r="L112" i="17"/>
  <c r="M112" i="17" s="1"/>
  <c r="I113" i="17"/>
  <c r="N113" i="17" s="1"/>
  <c r="J113" i="17"/>
  <c r="K113" i="17"/>
  <c r="L113" i="17"/>
  <c r="I114" i="17"/>
  <c r="J114" i="17"/>
  <c r="K114" i="17"/>
  <c r="L114" i="17"/>
  <c r="I115" i="17"/>
  <c r="J115" i="17"/>
  <c r="O115" i="17" s="1"/>
  <c r="K115" i="17"/>
  <c r="L115" i="17"/>
  <c r="M115" i="17" s="1"/>
  <c r="I116" i="17"/>
  <c r="N116" i="17" s="1"/>
  <c r="J116" i="17"/>
  <c r="K116" i="17"/>
  <c r="L116" i="17"/>
  <c r="I117" i="17"/>
  <c r="J117" i="17"/>
  <c r="K117" i="17"/>
  <c r="L117" i="17"/>
  <c r="I118" i="17"/>
  <c r="J118" i="17"/>
  <c r="O118" i="17" s="1"/>
  <c r="K118" i="17"/>
  <c r="L118" i="17"/>
  <c r="M118" i="17" s="1"/>
  <c r="I119" i="17"/>
  <c r="J119" i="17"/>
  <c r="O119" i="17" s="1"/>
  <c r="K119" i="17"/>
  <c r="L119" i="17"/>
  <c r="I120" i="17"/>
  <c r="J120" i="17"/>
  <c r="K120" i="17"/>
  <c r="L120" i="17"/>
  <c r="I121" i="17"/>
  <c r="J121" i="17"/>
  <c r="O121" i="17" s="1"/>
  <c r="K121" i="17"/>
  <c r="L121" i="17"/>
  <c r="M121" i="17" s="1"/>
  <c r="I122" i="17"/>
  <c r="J122" i="17"/>
  <c r="K122" i="17"/>
  <c r="L122" i="17"/>
  <c r="I123" i="17"/>
  <c r="J123" i="17"/>
  <c r="K123" i="17"/>
  <c r="L123" i="17"/>
  <c r="I124" i="17"/>
  <c r="J124" i="17"/>
  <c r="K124" i="17"/>
  <c r="L124" i="17"/>
  <c r="M124" i="17" s="1"/>
  <c r="I125" i="17"/>
  <c r="N125" i="17" s="1"/>
  <c r="J125" i="17"/>
  <c r="K125" i="17"/>
  <c r="L125" i="17"/>
  <c r="I126" i="17"/>
  <c r="J126" i="17"/>
  <c r="K126" i="17"/>
  <c r="L126" i="17"/>
  <c r="I127" i="17"/>
  <c r="J127" i="17"/>
  <c r="O127" i="17" s="1"/>
  <c r="K127" i="17"/>
  <c r="L127" i="17"/>
  <c r="M127" i="17" s="1"/>
  <c r="I128" i="17"/>
  <c r="N128" i="17" s="1"/>
  <c r="J128" i="17"/>
  <c r="K128" i="17"/>
  <c r="L128" i="17"/>
  <c r="I129" i="17"/>
  <c r="J129" i="17"/>
  <c r="K129" i="17"/>
  <c r="L129" i="17"/>
  <c r="I130" i="17"/>
  <c r="J130" i="17"/>
  <c r="O130" i="17" s="1"/>
  <c r="K130" i="17"/>
  <c r="L130" i="17"/>
  <c r="M130" i="17" s="1"/>
  <c r="I131" i="17"/>
  <c r="J131" i="17"/>
  <c r="O131" i="17" s="1"/>
  <c r="K131" i="17"/>
  <c r="L131" i="17"/>
  <c r="I132" i="17"/>
  <c r="J132" i="17"/>
  <c r="K132" i="17"/>
  <c r="L132" i="17"/>
  <c r="I133" i="17"/>
  <c r="J133" i="17"/>
  <c r="O133" i="17" s="1"/>
  <c r="K133" i="17"/>
  <c r="L133" i="17"/>
  <c r="M133" i="17" s="1"/>
  <c r="I134" i="17"/>
  <c r="J134" i="17"/>
  <c r="K134" i="17"/>
  <c r="L134" i="17"/>
  <c r="I135" i="17"/>
  <c r="J135" i="17"/>
  <c r="K135" i="17"/>
  <c r="L135" i="17"/>
  <c r="I136" i="17"/>
  <c r="J136" i="17"/>
  <c r="O136" i="17" s="1"/>
  <c r="K136" i="17"/>
  <c r="L136" i="17"/>
  <c r="M136" i="17" s="1"/>
  <c r="I137" i="17"/>
  <c r="N137" i="17" s="1"/>
  <c r="J137" i="17"/>
  <c r="K137" i="17"/>
  <c r="L137" i="17"/>
  <c r="I138" i="17"/>
  <c r="J138" i="17"/>
  <c r="K138" i="17"/>
  <c r="L138" i="17"/>
  <c r="I139" i="17"/>
  <c r="J139" i="17"/>
  <c r="O139" i="17" s="1"/>
  <c r="K139" i="17"/>
  <c r="L139" i="17"/>
  <c r="M139" i="17" s="1"/>
  <c r="I140" i="17"/>
  <c r="N140" i="17" s="1"/>
  <c r="J140" i="17"/>
  <c r="K140" i="17"/>
  <c r="L140" i="17"/>
  <c r="I141" i="17"/>
  <c r="J141" i="17"/>
  <c r="K141" i="17"/>
  <c r="L141" i="17"/>
  <c r="I142" i="17"/>
  <c r="J142" i="17"/>
  <c r="O142" i="17" s="1"/>
  <c r="K142" i="17"/>
  <c r="L142" i="17"/>
  <c r="M142" i="17" s="1"/>
  <c r="I143" i="17"/>
  <c r="J143" i="17"/>
  <c r="O143" i="17" s="1"/>
  <c r="K143" i="17"/>
  <c r="L143" i="17"/>
  <c r="I144" i="17"/>
  <c r="J144" i="17"/>
  <c r="K144" i="17"/>
  <c r="L144" i="17"/>
  <c r="I145" i="17"/>
  <c r="J145" i="17"/>
  <c r="O145" i="17" s="1"/>
  <c r="K145" i="17"/>
  <c r="L145" i="17"/>
  <c r="M145" i="17" s="1"/>
  <c r="I146" i="17"/>
  <c r="J146" i="17"/>
  <c r="O146" i="17" s="1"/>
  <c r="K146" i="17"/>
  <c r="L146" i="17"/>
  <c r="I147" i="17"/>
  <c r="J147" i="17"/>
  <c r="K147" i="17"/>
  <c r="L147" i="17"/>
  <c r="I148" i="17"/>
  <c r="J148" i="17"/>
  <c r="O148" i="17" s="1"/>
  <c r="K148" i="17"/>
  <c r="L148" i="17"/>
  <c r="M148" i="17" s="1"/>
  <c r="I149" i="17"/>
  <c r="J149" i="17"/>
  <c r="K149" i="17"/>
  <c r="L149" i="17"/>
  <c r="I150" i="17"/>
  <c r="J150" i="17"/>
  <c r="K150" i="17"/>
  <c r="L150" i="17"/>
  <c r="I151" i="17"/>
  <c r="J151" i="17"/>
  <c r="O151" i="17" s="1"/>
  <c r="K151" i="17"/>
  <c r="L151" i="17"/>
  <c r="M151" i="17" s="1"/>
  <c r="I152" i="17"/>
  <c r="N152" i="17" s="1"/>
  <c r="J152" i="17"/>
  <c r="K152" i="17"/>
  <c r="L152" i="17"/>
  <c r="I153" i="17"/>
  <c r="J153" i="17"/>
  <c r="K153" i="17"/>
  <c r="L153" i="17"/>
  <c r="I154" i="17"/>
  <c r="J154" i="17"/>
  <c r="O154" i="17" s="1"/>
  <c r="K154" i="17"/>
  <c r="L154" i="17"/>
  <c r="M154" i="17" s="1"/>
  <c r="I155" i="17"/>
  <c r="N155" i="17" s="1"/>
  <c r="J155" i="17"/>
  <c r="O155" i="17" s="1"/>
  <c r="K155" i="17"/>
  <c r="L155" i="17"/>
  <c r="I156" i="17"/>
  <c r="J156" i="17"/>
  <c r="K156" i="17"/>
  <c r="L156" i="17"/>
  <c r="I157" i="17"/>
  <c r="J157" i="17"/>
  <c r="O157" i="17" s="1"/>
  <c r="K157" i="17"/>
  <c r="L157" i="17"/>
  <c r="M157" i="17" s="1"/>
  <c r="I158" i="17"/>
  <c r="J158" i="17"/>
  <c r="O158" i="17" s="1"/>
  <c r="K158" i="17"/>
  <c r="L158" i="17"/>
  <c r="I159" i="17"/>
  <c r="J159" i="17"/>
  <c r="K159" i="17"/>
  <c r="L159" i="17"/>
  <c r="I160" i="17"/>
  <c r="J160" i="17"/>
  <c r="O160" i="17" s="1"/>
  <c r="K160" i="17"/>
  <c r="L160" i="17"/>
  <c r="M160" i="17" s="1"/>
  <c r="I161" i="17"/>
  <c r="J161" i="17"/>
  <c r="O161" i="17" s="1"/>
  <c r="K161" i="17"/>
  <c r="L161" i="17"/>
  <c r="I162" i="17"/>
  <c r="J162" i="17"/>
  <c r="K162" i="17"/>
  <c r="L162" i="17"/>
  <c r="I163" i="17"/>
  <c r="J163" i="17"/>
  <c r="K163" i="17"/>
  <c r="L163" i="17"/>
  <c r="M163" i="17" s="1"/>
  <c r="I164" i="17"/>
  <c r="N164" i="17" s="1"/>
  <c r="J164" i="17"/>
  <c r="K164" i="17"/>
  <c r="L164" i="17"/>
  <c r="I165" i="17"/>
  <c r="J165" i="17"/>
  <c r="K165" i="17"/>
  <c r="L165" i="17"/>
  <c r="I166" i="17"/>
  <c r="J166" i="17"/>
  <c r="O166" i="17" s="1"/>
  <c r="K166" i="17"/>
  <c r="L166" i="17"/>
  <c r="M166" i="17" s="1"/>
  <c r="I167" i="17"/>
  <c r="N167" i="17" s="1"/>
  <c r="J167" i="17"/>
  <c r="O167" i="17" s="1"/>
  <c r="K167" i="17"/>
  <c r="L167" i="17"/>
  <c r="I168" i="17"/>
  <c r="J168" i="17"/>
  <c r="K168" i="17"/>
  <c r="L168" i="17"/>
  <c r="I169" i="17"/>
  <c r="J169" i="17"/>
  <c r="O169" i="17" s="1"/>
  <c r="K169" i="17"/>
  <c r="L169" i="17"/>
  <c r="M169" i="17" s="1"/>
  <c r="I170" i="17"/>
  <c r="J170" i="17"/>
  <c r="K170" i="17"/>
  <c r="L170" i="17"/>
  <c r="I171" i="17"/>
  <c r="J171" i="17"/>
  <c r="K171" i="17"/>
  <c r="L171" i="17"/>
  <c r="I172" i="17"/>
  <c r="J172" i="17"/>
  <c r="O172" i="17" s="1"/>
  <c r="K172" i="17"/>
  <c r="L172" i="17"/>
  <c r="M172" i="17" s="1"/>
  <c r="I173" i="17"/>
  <c r="J173" i="17"/>
  <c r="O173" i="17" s="1"/>
  <c r="K173" i="17"/>
  <c r="L173" i="17"/>
  <c r="I174" i="17"/>
  <c r="J174" i="17"/>
  <c r="K174" i="17"/>
  <c r="L174" i="17"/>
  <c r="I175" i="17"/>
  <c r="J175" i="17"/>
  <c r="O175" i="17" s="1"/>
  <c r="K175" i="17"/>
  <c r="L175" i="17"/>
  <c r="M175" i="17" s="1"/>
  <c r="I176" i="17"/>
  <c r="N176" i="17" s="1"/>
  <c r="J176" i="17"/>
  <c r="O176" i="17" s="1"/>
  <c r="K176" i="17"/>
  <c r="L176" i="17"/>
  <c r="I177" i="17"/>
  <c r="J177" i="17"/>
  <c r="K177" i="17"/>
  <c r="L177" i="17"/>
  <c r="I178" i="17"/>
  <c r="J178" i="17"/>
  <c r="O178" i="17" s="1"/>
  <c r="K178" i="17"/>
  <c r="L178" i="17"/>
  <c r="M178" i="17" s="1"/>
  <c r="I179" i="17"/>
  <c r="N179" i="17" s="1"/>
  <c r="J179" i="17"/>
  <c r="O179" i="17" s="1"/>
  <c r="K179" i="17"/>
  <c r="L179" i="17"/>
  <c r="I180" i="17"/>
  <c r="J180" i="17"/>
  <c r="K180" i="17"/>
  <c r="L180" i="17"/>
  <c r="I181" i="17"/>
  <c r="J181" i="17"/>
  <c r="O181" i="17" s="1"/>
  <c r="K181" i="17"/>
  <c r="L181" i="17"/>
  <c r="M181" i="17" s="1"/>
  <c r="I182" i="17"/>
  <c r="N182" i="17" s="1"/>
  <c r="J182" i="17"/>
  <c r="K182" i="17"/>
  <c r="L182" i="17"/>
  <c r="I183" i="17"/>
  <c r="J183" i="17"/>
  <c r="K183" i="17"/>
  <c r="L183" i="17"/>
  <c r="I184" i="17"/>
  <c r="J184" i="17"/>
  <c r="K184" i="17"/>
  <c r="L184" i="17"/>
  <c r="M184" i="17" s="1"/>
  <c r="I185" i="17"/>
  <c r="J185" i="17"/>
  <c r="K185" i="17"/>
  <c r="L185" i="17"/>
  <c r="I186" i="17"/>
  <c r="J186" i="17"/>
  <c r="K186" i="17"/>
  <c r="L186" i="17"/>
  <c r="I187" i="17"/>
  <c r="J187" i="17"/>
  <c r="K187" i="17"/>
  <c r="L187" i="17"/>
  <c r="I188" i="17"/>
  <c r="N188" i="17" s="1"/>
  <c r="J188" i="17"/>
  <c r="O188" i="17" s="1"/>
  <c r="K188" i="17"/>
  <c r="L188" i="17"/>
  <c r="I189" i="17"/>
  <c r="J189" i="17"/>
  <c r="K189" i="17"/>
  <c r="L189" i="17"/>
  <c r="I190" i="17"/>
  <c r="J190" i="17"/>
  <c r="O190" i="17" s="1"/>
  <c r="K190" i="17"/>
  <c r="L190" i="17"/>
  <c r="M190" i="17" s="1"/>
  <c r="I191" i="17"/>
  <c r="N191" i="17" s="1"/>
  <c r="J191" i="17"/>
  <c r="O191" i="17" s="1"/>
  <c r="K191" i="17"/>
  <c r="L191" i="17"/>
  <c r="I192" i="17"/>
  <c r="J192" i="17"/>
  <c r="K192" i="17"/>
  <c r="L192" i="17"/>
  <c r="I193" i="17"/>
  <c r="J193" i="17"/>
  <c r="O193" i="17" s="1"/>
  <c r="K193" i="17"/>
  <c r="L193" i="17"/>
  <c r="M193" i="17" s="1"/>
  <c r="I194" i="17"/>
  <c r="N194" i="17" s="1"/>
  <c r="J194" i="17"/>
  <c r="O194" i="17" s="1"/>
  <c r="K194" i="17"/>
  <c r="L194" i="17"/>
  <c r="I195" i="17"/>
  <c r="J195" i="17"/>
  <c r="K195" i="17"/>
  <c r="L195" i="17"/>
  <c r="I196" i="17"/>
  <c r="J196" i="17"/>
  <c r="O196" i="17" s="1"/>
  <c r="K196" i="17"/>
  <c r="L196" i="17"/>
  <c r="M196" i="17" s="1"/>
  <c r="I197" i="17"/>
  <c r="J197" i="17"/>
  <c r="K197" i="17"/>
  <c r="L197" i="17"/>
  <c r="I198" i="17"/>
  <c r="J198" i="17"/>
  <c r="K198" i="17"/>
  <c r="L198" i="17"/>
  <c r="I199" i="17"/>
  <c r="J199" i="17"/>
  <c r="O199" i="17" s="1"/>
  <c r="K199" i="17"/>
  <c r="L199" i="17"/>
  <c r="M199" i="17" s="1"/>
  <c r="I200" i="17"/>
  <c r="N200" i="17" s="1"/>
  <c r="J200" i="17"/>
  <c r="K200" i="17"/>
  <c r="L200" i="17"/>
  <c r="I201" i="17"/>
  <c r="J201" i="17"/>
  <c r="K201" i="17"/>
  <c r="L201" i="17"/>
  <c r="I202" i="17"/>
  <c r="J202" i="17"/>
  <c r="O202" i="17" s="1"/>
  <c r="K202" i="17"/>
  <c r="L202" i="17"/>
  <c r="M202" i="17" s="1"/>
  <c r="I203" i="17"/>
  <c r="N203" i="17" s="1"/>
  <c r="J203" i="17"/>
  <c r="O203" i="17" s="1"/>
  <c r="K203" i="17"/>
  <c r="L203" i="17"/>
  <c r="I204" i="17"/>
  <c r="J204" i="17"/>
  <c r="K204" i="17"/>
  <c r="L204" i="17"/>
  <c r="I205" i="17"/>
  <c r="J205" i="17"/>
  <c r="O205" i="17" s="1"/>
  <c r="K205" i="17"/>
  <c r="L205" i="17"/>
  <c r="M205" i="17" s="1"/>
  <c r="I206" i="17"/>
  <c r="N206" i="17" s="1"/>
  <c r="J206" i="17"/>
  <c r="O206" i="17" s="1"/>
  <c r="K206" i="17"/>
  <c r="L206" i="17"/>
  <c r="I207" i="17"/>
  <c r="J207" i="17"/>
  <c r="K207" i="17"/>
  <c r="L207" i="17"/>
  <c r="I208" i="17"/>
  <c r="J208" i="17"/>
  <c r="O208" i="17" s="1"/>
  <c r="K208" i="17"/>
  <c r="L208" i="17"/>
  <c r="M208" i="17" s="1"/>
  <c r="I209" i="17"/>
  <c r="N209" i="17" s="1"/>
  <c r="J209" i="17"/>
  <c r="O209" i="17" s="1"/>
  <c r="K209" i="17"/>
  <c r="L209" i="17"/>
  <c r="I210" i="17"/>
  <c r="J210" i="17"/>
  <c r="K210" i="17"/>
  <c r="L210" i="17"/>
  <c r="I211" i="17"/>
  <c r="J211" i="17"/>
  <c r="K211" i="17"/>
  <c r="L211" i="17"/>
  <c r="M211" i="17" s="1"/>
  <c r="I212" i="17"/>
  <c r="N212" i="17" s="1"/>
  <c r="J212" i="17"/>
  <c r="O212" i="17" s="1"/>
  <c r="K212" i="17"/>
  <c r="L212" i="17"/>
  <c r="I213" i="17"/>
  <c r="J213" i="17"/>
  <c r="K213" i="17"/>
  <c r="L213" i="17"/>
  <c r="I214" i="17"/>
  <c r="J214" i="17"/>
  <c r="O214" i="17" s="1"/>
  <c r="K214" i="17"/>
  <c r="L214" i="17"/>
  <c r="I215" i="17"/>
  <c r="J215" i="17"/>
  <c r="O215" i="17" s="1"/>
  <c r="K215" i="17"/>
  <c r="L215" i="17"/>
  <c r="I216" i="17"/>
  <c r="J216" i="17"/>
  <c r="K216" i="17"/>
  <c r="L216" i="17"/>
  <c r="I217" i="17"/>
  <c r="J217" i="17"/>
  <c r="O217" i="17" s="1"/>
  <c r="K217" i="17"/>
  <c r="L217" i="17"/>
  <c r="M217" i="17" s="1"/>
  <c r="I218" i="17"/>
  <c r="N218" i="17" s="1"/>
  <c r="J218" i="17"/>
  <c r="K218" i="17"/>
  <c r="L218" i="17"/>
  <c r="I219" i="17"/>
  <c r="J219" i="17"/>
  <c r="K219" i="17"/>
  <c r="L219" i="17"/>
  <c r="I220" i="17"/>
  <c r="J220" i="17"/>
  <c r="O220" i="17" s="1"/>
  <c r="K220" i="17"/>
  <c r="L220" i="17"/>
  <c r="M220" i="17" s="1"/>
  <c r="I221" i="17"/>
  <c r="N221" i="17" s="1"/>
  <c r="J221" i="17"/>
  <c r="O221" i="17" s="1"/>
  <c r="K221" i="17"/>
  <c r="L221" i="17"/>
  <c r="I222" i="17"/>
  <c r="J222" i="17"/>
  <c r="K222" i="17"/>
  <c r="L222" i="17"/>
  <c r="I223" i="17"/>
  <c r="J223" i="17"/>
  <c r="O223" i="17" s="1"/>
  <c r="K223" i="17"/>
  <c r="L223" i="17"/>
  <c r="M223" i="17" s="1"/>
  <c r="I224" i="17"/>
  <c r="N224" i="17" s="1"/>
  <c r="J224" i="17"/>
  <c r="O224" i="17" s="1"/>
  <c r="K224" i="17"/>
  <c r="L224" i="17"/>
  <c r="I225" i="17"/>
  <c r="J225" i="17"/>
  <c r="K225" i="17"/>
  <c r="L225" i="17"/>
  <c r="I226" i="17"/>
  <c r="J226" i="17"/>
  <c r="O226" i="17" s="1"/>
  <c r="K226" i="17"/>
  <c r="L226" i="17"/>
  <c r="M226" i="17" s="1"/>
  <c r="I227" i="17"/>
  <c r="J227" i="17"/>
  <c r="O227" i="17" s="1"/>
  <c r="K227" i="17"/>
  <c r="L227" i="17"/>
  <c r="I228" i="17"/>
  <c r="J228" i="17"/>
  <c r="K228" i="17"/>
  <c r="L228" i="17"/>
  <c r="I229" i="17"/>
  <c r="J229" i="17"/>
  <c r="O229" i="17" s="1"/>
  <c r="K229" i="17"/>
  <c r="L229" i="17"/>
  <c r="M229" i="17" s="1"/>
  <c r="I230" i="17"/>
  <c r="N230" i="17" s="1"/>
  <c r="J230" i="17"/>
  <c r="K230" i="17"/>
  <c r="L230" i="17"/>
  <c r="I231" i="17"/>
  <c r="J231" i="17"/>
  <c r="K231" i="17"/>
  <c r="L231" i="17"/>
  <c r="I232" i="17"/>
  <c r="J232" i="17"/>
  <c r="K232" i="17"/>
  <c r="L232" i="17"/>
  <c r="M232" i="17" s="1"/>
  <c r="I233" i="17"/>
  <c r="N233" i="17" s="1"/>
  <c r="J233" i="17"/>
  <c r="O233" i="17" s="1"/>
  <c r="K233" i="17"/>
  <c r="L233" i="17"/>
  <c r="I234" i="17"/>
  <c r="J234" i="17"/>
  <c r="K234" i="17"/>
  <c r="L234" i="17"/>
  <c r="I235" i="17"/>
  <c r="J235" i="17"/>
  <c r="K235" i="17"/>
  <c r="L235" i="17"/>
  <c r="M235" i="17" s="1"/>
  <c r="I236" i="17"/>
  <c r="N236" i="17" s="1"/>
  <c r="J236" i="17"/>
  <c r="O236" i="17" s="1"/>
  <c r="K236" i="17"/>
  <c r="L236" i="17"/>
  <c r="I237" i="17"/>
  <c r="J237" i="17"/>
  <c r="K237" i="17"/>
  <c r="L237" i="17"/>
  <c r="I238" i="17"/>
  <c r="J238" i="17"/>
  <c r="O238" i="17" s="1"/>
  <c r="K238" i="17"/>
  <c r="L238" i="17"/>
  <c r="M238" i="17" s="1"/>
  <c r="I239" i="17"/>
  <c r="J239" i="17"/>
  <c r="O239" i="17" s="1"/>
  <c r="K239" i="17"/>
  <c r="L239" i="17"/>
  <c r="I240" i="17"/>
  <c r="J240" i="17"/>
  <c r="K240" i="17"/>
  <c r="L240" i="17"/>
  <c r="I241" i="17"/>
  <c r="J241" i="17"/>
  <c r="O241" i="17" s="1"/>
  <c r="K241" i="17"/>
  <c r="L241" i="17"/>
  <c r="M241" i="17" s="1"/>
  <c r="I242" i="17"/>
  <c r="N242" i="17" s="1"/>
  <c r="J242" i="17"/>
  <c r="O242" i="17" s="1"/>
  <c r="K242" i="17"/>
  <c r="L242" i="17"/>
  <c r="I243" i="17"/>
  <c r="J243" i="17"/>
  <c r="K243" i="17"/>
  <c r="L243" i="17"/>
  <c r="I244" i="17"/>
  <c r="J244" i="17"/>
  <c r="O244" i="17" s="1"/>
  <c r="K244" i="17"/>
  <c r="L244" i="17"/>
  <c r="M244" i="17" s="1"/>
  <c r="I245" i="17"/>
  <c r="N245" i="17" s="1"/>
  <c r="J245" i="17"/>
  <c r="K245" i="17"/>
  <c r="L245" i="17"/>
  <c r="I246" i="17"/>
  <c r="J246" i="17"/>
  <c r="K246" i="17"/>
  <c r="L246" i="17"/>
  <c r="I247" i="17"/>
  <c r="J247" i="17"/>
  <c r="K247" i="17"/>
  <c r="L247" i="17"/>
  <c r="M247" i="17" s="1"/>
  <c r="I248" i="17"/>
  <c r="N248" i="17" s="1"/>
  <c r="J248" i="17"/>
  <c r="K248" i="17"/>
  <c r="L248" i="17"/>
  <c r="I249" i="17"/>
  <c r="J249" i="17"/>
  <c r="K249" i="17"/>
  <c r="L249" i="17"/>
  <c r="I250" i="17"/>
  <c r="J250" i="17"/>
  <c r="O250" i="17" s="1"/>
  <c r="K250" i="17"/>
  <c r="L250" i="17"/>
  <c r="M250" i="17" s="1"/>
  <c r="I251" i="17"/>
  <c r="J251" i="17"/>
  <c r="O251" i="17" s="1"/>
  <c r="K251" i="17"/>
  <c r="L251" i="17"/>
  <c r="I252" i="17"/>
  <c r="J252" i="17"/>
  <c r="K252" i="17"/>
  <c r="L252" i="17"/>
  <c r="I253" i="17"/>
  <c r="J253" i="17"/>
  <c r="O253" i="17" s="1"/>
  <c r="K253" i="17"/>
  <c r="L253" i="17"/>
  <c r="M253" i="17" s="1"/>
  <c r="I254" i="17"/>
  <c r="J254" i="17"/>
  <c r="O254" i="17" s="1"/>
  <c r="K254" i="17"/>
  <c r="L254" i="17"/>
  <c r="I255" i="17"/>
  <c r="J255" i="17"/>
  <c r="K255" i="17"/>
  <c r="L255" i="17"/>
  <c r="I256" i="17"/>
  <c r="J256" i="17"/>
  <c r="O256" i="17" s="1"/>
  <c r="K256" i="17"/>
  <c r="L256" i="17"/>
  <c r="M256" i="17" s="1"/>
  <c r="I257" i="17"/>
  <c r="N257" i="17" s="1"/>
  <c r="J257" i="17"/>
  <c r="O257" i="17" s="1"/>
  <c r="K257" i="17"/>
  <c r="L257" i="17"/>
  <c r="I258" i="17"/>
  <c r="J258" i="17"/>
  <c r="K258" i="17"/>
  <c r="L258" i="17"/>
  <c r="I259" i="17"/>
  <c r="J259" i="17"/>
  <c r="O259" i="17" s="1"/>
  <c r="K259" i="17"/>
  <c r="L259" i="17"/>
  <c r="I260" i="17"/>
  <c r="N260" i="17" s="1"/>
  <c r="J260" i="17"/>
  <c r="K260" i="17"/>
  <c r="L260" i="17"/>
  <c r="I261" i="17"/>
  <c r="J261" i="17"/>
  <c r="K261" i="17"/>
  <c r="L261" i="17"/>
  <c r="I262" i="17"/>
  <c r="J262" i="17"/>
  <c r="O262" i="17" s="1"/>
  <c r="K262" i="17"/>
  <c r="L262" i="17"/>
  <c r="M262" i="17" s="1"/>
  <c r="I263" i="17"/>
  <c r="N263" i="17" s="1"/>
  <c r="J263" i="17"/>
  <c r="O263" i="17" s="1"/>
  <c r="K263" i="17"/>
  <c r="L263" i="17"/>
  <c r="I264" i="17"/>
  <c r="J264" i="17"/>
  <c r="K264" i="17"/>
  <c r="L264" i="17"/>
  <c r="I265" i="17"/>
  <c r="J265" i="17"/>
  <c r="O265" i="17" s="1"/>
  <c r="K265" i="17"/>
  <c r="L265" i="17"/>
  <c r="M265" i="17" s="1"/>
  <c r="I266" i="17"/>
  <c r="J266" i="17"/>
  <c r="K266" i="17"/>
  <c r="L266" i="17"/>
  <c r="I267" i="17"/>
  <c r="J267" i="17"/>
  <c r="K267" i="17"/>
  <c r="L267" i="17"/>
  <c r="I268" i="17"/>
  <c r="J268" i="17"/>
  <c r="O268" i="17" s="1"/>
  <c r="K268" i="17"/>
  <c r="L268" i="17"/>
  <c r="M268" i="17" s="1"/>
  <c r="I269" i="17"/>
  <c r="J269" i="17"/>
  <c r="O269" i="17" s="1"/>
  <c r="K269" i="17"/>
  <c r="L269" i="17"/>
  <c r="I270" i="17"/>
  <c r="J270" i="17"/>
  <c r="K270" i="17"/>
  <c r="L270" i="17"/>
  <c r="I271" i="17"/>
  <c r="J271" i="17"/>
  <c r="O271" i="17" s="1"/>
  <c r="K271" i="17"/>
  <c r="L271" i="17"/>
  <c r="M271" i="17" s="1"/>
  <c r="I272" i="17"/>
  <c r="N272" i="17" s="1"/>
  <c r="J272" i="17"/>
  <c r="O272" i="17" s="1"/>
  <c r="K272" i="17"/>
  <c r="L272" i="17"/>
  <c r="I273" i="17"/>
  <c r="J273" i="17"/>
  <c r="K273" i="17"/>
  <c r="L273" i="17"/>
  <c r="I274" i="17"/>
  <c r="J274" i="17"/>
  <c r="O274" i="17" s="1"/>
  <c r="K274" i="17"/>
  <c r="L274" i="17"/>
  <c r="M274" i="17" s="1"/>
  <c r="I275" i="17"/>
  <c r="N275" i="17" s="1"/>
  <c r="J275" i="17"/>
  <c r="O275" i="17" s="1"/>
  <c r="K275" i="17"/>
  <c r="L275" i="17"/>
  <c r="I276" i="17"/>
  <c r="J276" i="17"/>
  <c r="K276" i="17"/>
  <c r="L276" i="17"/>
  <c r="I277" i="17"/>
  <c r="J277" i="17"/>
  <c r="O277" i="17" s="1"/>
  <c r="K277" i="17"/>
  <c r="L277" i="17"/>
  <c r="M277" i="17" s="1"/>
  <c r="I278" i="17"/>
  <c r="J278" i="17"/>
  <c r="K278" i="17"/>
  <c r="L278" i="17"/>
  <c r="I279" i="17"/>
  <c r="J279" i="17"/>
  <c r="K279" i="17"/>
  <c r="L279" i="17"/>
  <c r="I280" i="17"/>
  <c r="J280" i="17"/>
  <c r="O280" i="17" s="1"/>
  <c r="K280" i="17"/>
  <c r="L280" i="17"/>
  <c r="M280" i="17" s="1"/>
  <c r="I281" i="17"/>
  <c r="N281" i="17" s="1"/>
  <c r="J281" i="17"/>
  <c r="K281" i="17"/>
  <c r="L281" i="17"/>
  <c r="I282" i="17"/>
  <c r="J282" i="17"/>
  <c r="K282" i="17"/>
  <c r="L282" i="17"/>
  <c r="I283" i="17"/>
  <c r="J283" i="17"/>
  <c r="O283" i="17" s="1"/>
  <c r="K283" i="17"/>
  <c r="L283" i="17"/>
  <c r="M283" i="17" s="1"/>
  <c r="I284" i="17"/>
  <c r="N284" i="17" s="1"/>
  <c r="J284" i="17"/>
  <c r="O284" i="17" s="1"/>
  <c r="K284" i="17"/>
  <c r="L284" i="17"/>
  <c r="I285" i="17"/>
  <c r="J285" i="17"/>
  <c r="K285" i="17"/>
  <c r="L285" i="17"/>
  <c r="I286" i="17"/>
  <c r="J286" i="17"/>
  <c r="O286" i="17" s="1"/>
  <c r="K286" i="17"/>
  <c r="L286" i="17"/>
  <c r="I287" i="17"/>
  <c r="N287" i="17" s="1"/>
  <c r="J287" i="17"/>
  <c r="O287" i="17" s="1"/>
  <c r="K287" i="17"/>
  <c r="L287" i="17"/>
  <c r="I288" i="17"/>
  <c r="J288" i="17"/>
  <c r="K288" i="17"/>
  <c r="L288" i="17"/>
  <c r="I289" i="17"/>
  <c r="J289" i="17"/>
  <c r="O289" i="17" s="1"/>
  <c r="K289" i="17"/>
  <c r="L289" i="17"/>
  <c r="M289" i="17" s="1"/>
  <c r="I290" i="17"/>
  <c r="N290" i="17" s="1"/>
  <c r="J290" i="17"/>
  <c r="O290" i="17" s="1"/>
  <c r="K290" i="17"/>
  <c r="L290" i="17"/>
  <c r="I291" i="17"/>
  <c r="J291" i="17"/>
  <c r="K291" i="17"/>
  <c r="L291" i="17"/>
  <c r="I292" i="17"/>
  <c r="J292" i="17"/>
  <c r="O292" i="17" s="1"/>
  <c r="K292" i="17"/>
  <c r="L292" i="17"/>
  <c r="M292" i="17" s="1"/>
  <c r="I293" i="17"/>
  <c r="J293" i="17"/>
  <c r="K293" i="17"/>
  <c r="L293" i="17"/>
  <c r="I294" i="17"/>
  <c r="J294" i="17"/>
  <c r="K294" i="17"/>
  <c r="L294" i="17"/>
  <c r="I295" i="17"/>
  <c r="J295" i="17"/>
  <c r="K295" i="17"/>
  <c r="L295" i="17"/>
  <c r="M295" i="17" s="1"/>
  <c r="I296" i="17"/>
  <c r="N296" i="17" s="1"/>
  <c r="J296" i="17"/>
  <c r="K296" i="17"/>
  <c r="L296" i="17"/>
  <c r="I297" i="17"/>
  <c r="J297" i="17"/>
  <c r="K297" i="17"/>
  <c r="L297" i="17"/>
  <c r="I298" i="17"/>
  <c r="J298" i="17"/>
  <c r="O298" i="17" s="1"/>
  <c r="K298" i="17"/>
  <c r="L298" i="17"/>
  <c r="M298" i="17" s="1"/>
  <c r="I299" i="17"/>
  <c r="N299" i="17" s="1"/>
  <c r="J299" i="17"/>
  <c r="O299" i="17" s="1"/>
  <c r="K299" i="17"/>
  <c r="L299" i="17"/>
  <c r="I300" i="17"/>
  <c r="J300" i="17"/>
  <c r="K300" i="17"/>
  <c r="L300" i="17"/>
  <c r="I301" i="17"/>
  <c r="J301" i="17"/>
  <c r="O301" i="17" s="1"/>
  <c r="K301" i="17"/>
  <c r="L301" i="17"/>
  <c r="M301" i="17" s="1"/>
  <c r="I302" i="17"/>
  <c r="N302" i="17" s="1"/>
  <c r="J302" i="17"/>
  <c r="O302" i="17" s="1"/>
  <c r="K302" i="17"/>
  <c r="L302" i="17"/>
  <c r="I303" i="17"/>
  <c r="J303" i="17"/>
  <c r="K303" i="17"/>
  <c r="L303" i="17"/>
  <c r="I304" i="17"/>
  <c r="J304" i="17"/>
  <c r="O304" i="17" s="1"/>
  <c r="K304" i="17"/>
  <c r="L304" i="17"/>
  <c r="M304" i="17" s="1"/>
  <c r="I305" i="17"/>
  <c r="J305" i="17"/>
  <c r="O305" i="17" s="1"/>
  <c r="K305" i="17"/>
  <c r="L305" i="17"/>
  <c r="I306" i="17"/>
  <c r="J306" i="17"/>
  <c r="K306" i="17"/>
  <c r="L306" i="17"/>
  <c r="I307" i="17"/>
  <c r="J307" i="17"/>
  <c r="O307" i="17" s="1"/>
  <c r="K307" i="17"/>
  <c r="L307" i="17"/>
  <c r="M307" i="17" s="1"/>
  <c r="I308" i="17"/>
  <c r="N308" i="17" s="1"/>
  <c r="J308" i="17"/>
  <c r="K308" i="17"/>
  <c r="L308" i="17"/>
  <c r="I309" i="17"/>
  <c r="J309" i="17"/>
  <c r="K309" i="17"/>
  <c r="L309" i="17"/>
  <c r="I310" i="17"/>
  <c r="J310" i="17"/>
  <c r="O310" i="17" s="1"/>
  <c r="K310" i="17"/>
  <c r="L310" i="17"/>
  <c r="M310" i="17" s="1"/>
  <c r="I311" i="17"/>
  <c r="N311" i="17" s="1"/>
  <c r="J311" i="17"/>
  <c r="O311" i="17" s="1"/>
  <c r="K311" i="17"/>
  <c r="L311" i="17"/>
  <c r="I312" i="17"/>
  <c r="J312" i="17"/>
  <c r="K312" i="17"/>
  <c r="L312" i="17"/>
  <c r="I313" i="17"/>
  <c r="J313" i="17"/>
  <c r="O313" i="17" s="1"/>
  <c r="K313" i="17"/>
  <c r="L313" i="17"/>
  <c r="M313" i="17" s="1"/>
  <c r="I314" i="17"/>
  <c r="N314" i="17" s="1"/>
  <c r="J314" i="17"/>
  <c r="K314" i="17"/>
  <c r="L314" i="17"/>
  <c r="I315" i="17"/>
  <c r="J315" i="17"/>
  <c r="K315" i="17"/>
  <c r="L315" i="17"/>
  <c r="I316" i="17"/>
  <c r="J316" i="17"/>
  <c r="K316" i="17"/>
  <c r="L316" i="17"/>
  <c r="M316" i="17" s="1"/>
  <c r="I317" i="17"/>
  <c r="J317" i="17"/>
  <c r="O317" i="17" s="1"/>
  <c r="K317" i="17"/>
  <c r="L317" i="17"/>
  <c r="I318" i="17"/>
  <c r="J318" i="17"/>
  <c r="K318" i="17"/>
  <c r="L318" i="17"/>
  <c r="I319" i="17"/>
  <c r="J319" i="17"/>
  <c r="O319" i="17" s="1"/>
  <c r="K319" i="17"/>
  <c r="L319" i="17"/>
  <c r="M319" i="17" s="1"/>
  <c r="I320" i="17"/>
  <c r="N320" i="17" s="1"/>
  <c r="J320" i="17"/>
  <c r="O320" i="17" s="1"/>
  <c r="K320" i="17"/>
  <c r="L320" i="17"/>
  <c r="I321" i="17"/>
  <c r="J321" i="17"/>
  <c r="K321" i="17"/>
  <c r="L321" i="17"/>
  <c r="I322" i="17"/>
  <c r="J322" i="17"/>
  <c r="O322" i="17" s="1"/>
  <c r="K322" i="17"/>
  <c r="L322" i="17"/>
  <c r="M322" i="17" s="1"/>
  <c r="I323" i="17"/>
  <c r="J323" i="17"/>
  <c r="O323" i="17" s="1"/>
  <c r="K323" i="17"/>
  <c r="L323" i="17"/>
  <c r="I324" i="17"/>
  <c r="J324" i="17"/>
  <c r="K324" i="17"/>
  <c r="L324" i="17"/>
  <c r="I325" i="17"/>
  <c r="J325" i="17"/>
  <c r="O325" i="17" s="1"/>
  <c r="K325" i="17"/>
  <c r="L325" i="17"/>
  <c r="M325" i="17" s="1"/>
  <c r="I326" i="17"/>
  <c r="N326" i="17" s="1"/>
  <c r="J326" i="17"/>
  <c r="K326" i="17"/>
  <c r="L326" i="17"/>
  <c r="I327" i="17"/>
  <c r="J327" i="17"/>
  <c r="K327" i="17"/>
  <c r="L327" i="17"/>
  <c r="I328" i="17"/>
  <c r="J328" i="17"/>
  <c r="O328" i="17" s="1"/>
  <c r="K328" i="17"/>
  <c r="L328" i="17"/>
  <c r="M328" i="17" s="1"/>
  <c r="I329" i="17"/>
  <c r="N329" i="17" s="1"/>
  <c r="J329" i="17"/>
  <c r="K329" i="17"/>
  <c r="L329" i="17"/>
  <c r="I330" i="17"/>
  <c r="J330" i="17"/>
  <c r="K330" i="17"/>
  <c r="L330" i="17"/>
  <c r="I331" i="17"/>
  <c r="J331" i="17"/>
  <c r="K331" i="17"/>
  <c r="L331" i="17"/>
  <c r="I332" i="17"/>
  <c r="N332" i="17" s="1"/>
  <c r="J332" i="17"/>
  <c r="O332" i="17" s="1"/>
  <c r="K332" i="17"/>
  <c r="L332" i="17"/>
  <c r="I333" i="17"/>
  <c r="J333" i="17"/>
  <c r="K333" i="17"/>
  <c r="L333" i="17"/>
  <c r="I334" i="17"/>
  <c r="J334" i="17"/>
  <c r="O334" i="17" s="1"/>
  <c r="K334" i="17"/>
  <c r="L334" i="17"/>
  <c r="M334" i="17" s="1"/>
  <c r="I335" i="17"/>
  <c r="J335" i="17"/>
  <c r="O335" i="17" s="1"/>
  <c r="K335" i="17"/>
  <c r="L335" i="17"/>
  <c r="I336" i="17"/>
  <c r="J336" i="17"/>
  <c r="K336" i="17"/>
  <c r="L336" i="17"/>
  <c r="I337" i="17"/>
  <c r="J337" i="17"/>
  <c r="O337" i="17" s="1"/>
  <c r="K337" i="17"/>
  <c r="L337" i="17"/>
  <c r="M337" i="17" s="1"/>
  <c r="I338" i="17"/>
  <c r="N338" i="17" s="1"/>
  <c r="J338" i="17"/>
  <c r="O338" i="17" s="1"/>
  <c r="K338" i="17"/>
  <c r="L338" i="17"/>
  <c r="I339" i="17"/>
  <c r="J339" i="17"/>
  <c r="K339" i="17"/>
  <c r="L339" i="17"/>
  <c r="I340" i="17"/>
  <c r="J340" i="17"/>
  <c r="K340" i="17"/>
  <c r="L340" i="17"/>
  <c r="M340" i="17" s="1"/>
  <c r="I341" i="17"/>
  <c r="N341" i="17" s="1"/>
  <c r="J341" i="17"/>
  <c r="O341" i="17" s="1"/>
  <c r="K341" i="17"/>
  <c r="L341" i="17"/>
  <c r="I342" i="17"/>
  <c r="J342" i="17"/>
  <c r="K342" i="17"/>
  <c r="L342" i="17"/>
  <c r="I343" i="17"/>
  <c r="J343" i="17"/>
  <c r="O343" i="17" s="1"/>
  <c r="K343" i="17"/>
  <c r="L343" i="17"/>
  <c r="M343" i="17" s="1"/>
  <c r="I344" i="17"/>
  <c r="N344" i="17" s="1"/>
  <c r="J344" i="17"/>
  <c r="O344" i="17" s="1"/>
  <c r="K344" i="17"/>
  <c r="L344" i="17"/>
  <c r="I345" i="17"/>
  <c r="J345" i="17"/>
  <c r="K345" i="17"/>
  <c r="L345" i="17"/>
  <c r="I346" i="17"/>
  <c r="J346" i="17"/>
  <c r="O346" i="17" s="1"/>
  <c r="K346" i="17"/>
  <c r="L346" i="17"/>
  <c r="M346" i="17" s="1"/>
  <c r="I347" i="17"/>
  <c r="N347" i="17" s="1"/>
  <c r="J347" i="17"/>
  <c r="O347" i="17" s="1"/>
  <c r="K347" i="17"/>
  <c r="L347" i="17"/>
  <c r="I348" i="17"/>
  <c r="J348" i="17"/>
  <c r="K348" i="17"/>
  <c r="L348" i="17"/>
  <c r="I349" i="17"/>
  <c r="J349" i="17"/>
  <c r="O349" i="17" s="1"/>
  <c r="K349" i="17"/>
  <c r="L349" i="17"/>
  <c r="M349" i="17" s="1"/>
  <c r="I350" i="17"/>
  <c r="J350" i="17"/>
  <c r="K350" i="17"/>
  <c r="L350" i="17"/>
  <c r="I351" i="17"/>
  <c r="J351" i="17"/>
  <c r="K351" i="17"/>
  <c r="L351" i="17"/>
  <c r="I352" i="17"/>
  <c r="J352" i="17"/>
  <c r="O352" i="17" s="1"/>
  <c r="K352" i="17"/>
  <c r="L352" i="17"/>
  <c r="M352" i="17" s="1"/>
  <c r="I353" i="17"/>
  <c r="N353" i="17" s="1"/>
  <c r="J353" i="17"/>
  <c r="O353" i="17" s="1"/>
  <c r="K353" i="17"/>
  <c r="L353" i="17"/>
  <c r="I354" i="17"/>
  <c r="J354" i="17"/>
  <c r="K354" i="17"/>
  <c r="L354" i="17"/>
  <c r="I355" i="17"/>
  <c r="J355" i="17"/>
  <c r="O355" i="17" s="1"/>
  <c r="K355" i="17"/>
  <c r="L355" i="17"/>
  <c r="M355" i="17" s="1"/>
  <c r="I356" i="17"/>
  <c r="N356" i="17" s="1"/>
  <c r="J356" i="17"/>
  <c r="K356" i="17"/>
  <c r="L356" i="17"/>
  <c r="I357" i="17"/>
  <c r="J357" i="17"/>
  <c r="K357" i="17"/>
  <c r="L357" i="17"/>
  <c r="I358" i="17"/>
  <c r="J358" i="17"/>
  <c r="O358" i="17" s="1"/>
  <c r="K358" i="17"/>
  <c r="L358" i="17"/>
  <c r="I359" i="17"/>
  <c r="N359" i="17" s="1"/>
  <c r="J359" i="17"/>
  <c r="O359" i="17" s="1"/>
  <c r="K359" i="17"/>
  <c r="L359" i="17"/>
  <c r="I360" i="17"/>
  <c r="J360" i="17"/>
  <c r="K360" i="17"/>
  <c r="L360" i="17"/>
  <c r="I361" i="17"/>
  <c r="J361" i="17"/>
  <c r="O361" i="17" s="1"/>
  <c r="K361" i="17"/>
  <c r="L361" i="17"/>
  <c r="M361" i="17" s="1"/>
  <c r="I362" i="17"/>
  <c r="J362" i="17"/>
  <c r="O362" i="17" s="1"/>
  <c r="K362" i="17"/>
  <c r="L362" i="17"/>
  <c r="I363" i="17"/>
  <c r="J363" i="17"/>
  <c r="K363" i="17"/>
  <c r="L363" i="17"/>
  <c r="I364" i="17"/>
  <c r="J364" i="17"/>
  <c r="O364" i="17" s="1"/>
  <c r="K364" i="17"/>
  <c r="L364" i="17"/>
  <c r="M364" i="17" s="1"/>
  <c r="I365" i="17"/>
  <c r="N365" i="17" s="1"/>
  <c r="J365" i="17"/>
  <c r="O365" i="17" s="1"/>
  <c r="K365" i="17"/>
  <c r="L365" i="17"/>
  <c r="I366" i="17"/>
  <c r="J366" i="17"/>
  <c r="K366" i="17"/>
  <c r="L366" i="17"/>
  <c r="I367" i="17"/>
  <c r="J367" i="17"/>
  <c r="O367" i="17" s="1"/>
  <c r="K367" i="17"/>
  <c r="L367" i="17"/>
  <c r="M367" i="17" s="1"/>
  <c r="I368" i="17"/>
  <c r="N368" i="17" s="1"/>
  <c r="J368" i="17"/>
  <c r="O368" i="17" s="1"/>
  <c r="K368" i="17"/>
  <c r="L368" i="17"/>
  <c r="I369" i="17"/>
  <c r="J369" i="17"/>
  <c r="K369" i="17"/>
  <c r="L369" i="17"/>
  <c r="I370" i="17"/>
  <c r="J370" i="17"/>
  <c r="O370" i="17" s="1"/>
  <c r="K370" i="17"/>
  <c r="L370" i="17"/>
  <c r="M370" i="17" s="1"/>
  <c r="I371" i="17"/>
  <c r="J371" i="17"/>
  <c r="O371" i="17" s="1"/>
  <c r="K371" i="17"/>
  <c r="L371" i="17"/>
  <c r="I372" i="17"/>
  <c r="J372" i="17"/>
  <c r="K372" i="17"/>
  <c r="L372" i="17"/>
  <c r="I373" i="17"/>
  <c r="J373" i="17"/>
  <c r="O373" i="17" s="1"/>
  <c r="K373" i="17"/>
  <c r="L373" i="17"/>
  <c r="M373" i="17" s="1"/>
  <c r="I374" i="17"/>
  <c r="N374" i="17" s="1"/>
  <c r="J374" i="17"/>
  <c r="K374" i="17"/>
  <c r="L374" i="17"/>
  <c r="I375" i="17"/>
  <c r="J375" i="17"/>
  <c r="K375" i="17"/>
  <c r="L375" i="17"/>
  <c r="I376" i="17"/>
  <c r="J376" i="17"/>
  <c r="K376" i="17"/>
  <c r="L376" i="17"/>
  <c r="M376" i="17" s="1"/>
  <c r="I377" i="17"/>
  <c r="N377" i="17" s="1"/>
  <c r="J377" i="17"/>
  <c r="K377" i="17"/>
  <c r="L377" i="17"/>
  <c r="I378" i="17"/>
  <c r="J378" i="17"/>
  <c r="K378" i="17"/>
  <c r="L378" i="17"/>
  <c r="I379" i="17"/>
  <c r="J379" i="17"/>
  <c r="O379" i="17" s="1"/>
  <c r="K379" i="17"/>
  <c r="L379" i="17"/>
  <c r="M379" i="17" s="1"/>
  <c r="I380" i="17"/>
  <c r="N380" i="17" s="1"/>
  <c r="J380" i="17"/>
  <c r="O380" i="17" s="1"/>
  <c r="K380" i="17"/>
  <c r="L380" i="17"/>
  <c r="I381" i="17"/>
  <c r="J381" i="17"/>
  <c r="K381" i="17"/>
  <c r="L381" i="17"/>
  <c r="I382" i="17"/>
  <c r="J382" i="17"/>
  <c r="O382" i="17" s="1"/>
  <c r="K382" i="17"/>
  <c r="L382" i="17"/>
  <c r="M382" i="17" s="1"/>
  <c r="I383" i="17"/>
  <c r="N383" i="17" s="1"/>
  <c r="J383" i="17"/>
  <c r="O383" i="17" s="1"/>
  <c r="K383" i="17"/>
  <c r="L383" i="17"/>
  <c r="I384" i="17"/>
  <c r="J384" i="17"/>
  <c r="K384" i="17"/>
  <c r="L384" i="17"/>
  <c r="I385" i="17"/>
  <c r="J385" i="17"/>
  <c r="O385" i="17" s="1"/>
  <c r="K385" i="17"/>
  <c r="L385" i="17"/>
  <c r="M385" i="17" s="1"/>
  <c r="I386" i="17"/>
  <c r="N386" i="17" s="1"/>
  <c r="J386" i="17"/>
  <c r="O386" i="17" s="1"/>
  <c r="K386" i="17"/>
  <c r="L386" i="17"/>
  <c r="I387" i="17"/>
  <c r="J387" i="17"/>
  <c r="K387" i="17"/>
  <c r="L387" i="17"/>
  <c r="I388" i="17"/>
  <c r="J388" i="17"/>
  <c r="O388" i="17" s="1"/>
  <c r="K388" i="17"/>
  <c r="L388" i="17"/>
  <c r="M388" i="17" s="1"/>
  <c r="I389" i="17"/>
  <c r="N389" i="17" s="1"/>
  <c r="J389" i="17"/>
  <c r="K389" i="17"/>
  <c r="L389" i="17"/>
  <c r="I390" i="17"/>
  <c r="N390" i="17" s="1"/>
  <c r="J390" i="17"/>
  <c r="K390" i="17"/>
  <c r="L390" i="17"/>
  <c r="I391" i="17"/>
  <c r="J391" i="17"/>
  <c r="O391" i="17" s="1"/>
  <c r="K391" i="17"/>
  <c r="L391" i="17"/>
  <c r="M391" i="17" s="1"/>
  <c r="I392" i="17"/>
  <c r="N392" i="17" s="1"/>
  <c r="J392" i="17"/>
  <c r="K392" i="17"/>
  <c r="L392" i="17"/>
  <c r="I393" i="17"/>
  <c r="J393" i="17"/>
  <c r="K393" i="17"/>
  <c r="L393" i="17"/>
  <c r="I394" i="17"/>
  <c r="J394" i="17"/>
  <c r="O394" i="17" s="1"/>
  <c r="K394" i="17"/>
  <c r="L394" i="17"/>
  <c r="M394" i="17" s="1"/>
  <c r="I395" i="17"/>
  <c r="N395" i="17" s="1"/>
  <c r="J395" i="17"/>
  <c r="O395" i="17" s="1"/>
  <c r="K395" i="17"/>
  <c r="L395" i="17"/>
  <c r="I396" i="17"/>
  <c r="J396" i="17"/>
  <c r="K396" i="17"/>
  <c r="L396" i="17"/>
  <c r="I397" i="17"/>
  <c r="J397" i="17"/>
  <c r="O397" i="17" s="1"/>
  <c r="K397" i="17"/>
  <c r="L397" i="17"/>
  <c r="M397" i="17" s="1"/>
  <c r="I398" i="17"/>
  <c r="J398" i="17"/>
  <c r="K398" i="17"/>
  <c r="L398" i="17"/>
  <c r="I399" i="17"/>
  <c r="J399" i="17"/>
  <c r="K399" i="17"/>
  <c r="L399" i="17"/>
  <c r="I400" i="17"/>
  <c r="J400" i="17"/>
  <c r="O400" i="17" s="1"/>
  <c r="K400" i="17"/>
  <c r="L400" i="17"/>
  <c r="M400" i="17" s="1"/>
  <c r="I401" i="17"/>
  <c r="J401" i="17"/>
  <c r="O401" i="17" s="1"/>
  <c r="K401" i="17"/>
  <c r="L401" i="17"/>
  <c r="I402" i="17"/>
  <c r="N402" i="17" s="1"/>
  <c r="J402" i="17"/>
  <c r="K402" i="17"/>
  <c r="L402" i="17"/>
  <c r="I403" i="17"/>
  <c r="J403" i="17"/>
  <c r="O403" i="17" s="1"/>
  <c r="K403" i="17"/>
  <c r="L403" i="17"/>
  <c r="I404" i="17"/>
  <c r="N404" i="17" s="1"/>
  <c r="J404" i="17"/>
  <c r="O404" i="17" s="1"/>
  <c r="K404" i="17"/>
  <c r="L404" i="17"/>
  <c r="I405" i="17"/>
  <c r="N405" i="17" s="1"/>
  <c r="J405" i="17"/>
  <c r="K405" i="17"/>
  <c r="L405" i="17"/>
  <c r="I406" i="17"/>
  <c r="J406" i="17"/>
  <c r="O406" i="17" s="1"/>
  <c r="K406" i="17"/>
  <c r="L406" i="17"/>
  <c r="M406" i="17" s="1"/>
  <c r="I407" i="17"/>
  <c r="N407" i="17" s="1"/>
  <c r="J407" i="17"/>
  <c r="O407" i="17" s="1"/>
  <c r="K407" i="17"/>
  <c r="L407" i="17"/>
  <c r="I408" i="17"/>
  <c r="J408" i="17"/>
  <c r="K408" i="17"/>
  <c r="L408" i="17"/>
  <c r="I409" i="17"/>
  <c r="J409" i="17"/>
  <c r="O409" i="17" s="1"/>
  <c r="K409" i="17"/>
  <c r="L409" i="17"/>
  <c r="M409" i="17" s="1"/>
  <c r="I410" i="17"/>
  <c r="N410" i="17" s="1"/>
  <c r="J410" i="17"/>
  <c r="O410" i="17" s="1"/>
  <c r="K410" i="17"/>
  <c r="L410" i="17"/>
  <c r="I411" i="17"/>
  <c r="J411" i="17"/>
  <c r="K411" i="17"/>
  <c r="L411" i="17"/>
  <c r="I412" i="17"/>
  <c r="J412" i="17"/>
  <c r="O412" i="17" s="1"/>
  <c r="K412" i="17"/>
  <c r="L412" i="17"/>
  <c r="M412" i="17" s="1"/>
  <c r="I413" i="17"/>
  <c r="J413" i="17"/>
  <c r="K413" i="17"/>
  <c r="L413" i="17"/>
  <c r="I414" i="17"/>
  <c r="J414" i="17"/>
  <c r="K414" i="17"/>
  <c r="L414" i="17"/>
  <c r="I415" i="17"/>
  <c r="J415" i="17"/>
  <c r="O415" i="17" s="1"/>
  <c r="K415" i="17"/>
  <c r="L415" i="17"/>
  <c r="M415" i="17" s="1"/>
  <c r="I416" i="17"/>
  <c r="N416" i="17" s="1"/>
  <c r="J416" i="17"/>
  <c r="O416" i="17" s="1"/>
  <c r="K416" i="17"/>
  <c r="L416" i="17"/>
  <c r="I417" i="17"/>
  <c r="J417" i="17"/>
  <c r="K417" i="17"/>
  <c r="L417" i="17"/>
  <c r="I418" i="17"/>
  <c r="J418" i="17"/>
  <c r="O418" i="17" s="1"/>
  <c r="K418" i="17"/>
  <c r="L418" i="17"/>
  <c r="M418" i="17" s="1"/>
  <c r="I419" i="17"/>
  <c r="N419" i="17" s="1"/>
  <c r="J419" i="17"/>
  <c r="O419" i="17" s="1"/>
  <c r="K419" i="17"/>
  <c r="L419" i="17"/>
  <c r="I420" i="17"/>
  <c r="N420" i="17" s="1"/>
  <c r="J420" i="17"/>
  <c r="K420" i="17"/>
  <c r="L420" i="17"/>
  <c r="I421" i="17"/>
  <c r="J421" i="17"/>
  <c r="O421" i="17" s="1"/>
  <c r="K421" i="17"/>
  <c r="L421" i="17"/>
  <c r="M421" i="17" s="1"/>
  <c r="I422" i="17"/>
  <c r="N422" i="17" s="1"/>
  <c r="J422" i="17"/>
  <c r="O422" i="17" s="1"/>
  <c r="K422" i="17"/>
  <c r="L422" i="17"/>
  <c r="I423" i="17"/>
  <c r="N423" i="17" s="1"/>
  <c r="J423" i="17"/>
  <c r="K423" i="17"/>
  <c r="L423" i="17"/>
  <c r="I424" i="17"/>
  <c r="J424" i="17"/>
  <c r="O424" i="17" s="1"/>
  <c r="K424" i="17"/>
  <c r="L424" i="17"/>
  <c r="M424" i="17" s="1"/>
  <c r="I425" i="17"/>
  <c r="N425" i="17" s="1"/>
  <c r="J425" i="17"/>
  <c r="O425" i="17" s="1"/>
  <c r="K425" i="17"/>
  <c r="L425" i="17"/>
  <c r="I426" i="17"/>
  <c r="J426" i="17"/>
  <c r="K426" i="17"/>
  <c r="L426" i="17"/>
  <c r="I427" i="17"/>
  <c r="J427" i="17"/>
  <c r="K427" i="17"/>
  <c r="L427" i="17"/>
  <c r="M427" i="17" s="1"/>
  <c r="I428" i="17"/>
  <c r="N428" i="17" s="1"/>
  <c r="J428" i="17"/>
  <c r="O428" i="17" s="1"/>
  <c r="K428" i="17"/>
  <c r="L428" i="17"/>
  <c r="I429" i="17"/>
  <c r="J429" i="17"/>
  <c r="K429" i="17"/>
  <c r="L429" i="17"/>
  <c r="I430" i="17"/>
  <c r="J430" i="17"/>
  <c r="O430" i="17" s="1"/>
  <c r="K430" i="17"/>
  <c r="L430" i="17"/>
  <c r="I431" i="17"/>
  <c r="J431" i="17"/>
  <c r="O431" i="17" s="1"/>
  <c r="K431" i="17"/>
  <c r="L431" i="17"/>
  <c r="I432" i="17"/>
  <c r="N432" i="17" s="1"/>
  <c r="J432" i="17"/>
  <c r="K432" i="17"/>
  <c r="L432" i="17"/>
  <c r="I433" i="17"/>
  <c r="J433" i="17"/>
  <c r="O433" i="17" s="1"/>
  <c r="K433" i="17"/>
  <c r="L433" i="17"/>
  <c r="M433" i="17" s="1"/>
  <c r="I434" i="17"/>
  <c r="N434" i="17" s="1"/>
  <c r="J434" i="17"/>
  <c r="O434" i="17" s="1"/>
  <c r="K434" i="17"/>
  <c r="L434" i="17"/>
  <c r="I435" i="17"/>
  <c r="N435" i="17" s="1"/>
  <c r="J435" i="17"/>
  <c r="K435" i="17"/>
  <c r="L435" i="17"/>
  <c r="I436" i="17"/>
  <c r="J436" i="17"/>
  <c r="O436" i="17" s="1"/>
  <c r="K436" i="17"/>
  <c r="L436" i="17"/>
  <c r="M436" i="17" s="1"/>
  <c r="I437" i="17"/>
  <c r="N437" i="17" s="1"/>
  <c r="J437" i="17"/>
  <c r="K437" i="17"/>
  <c r="L437" i="17"/>
  <c r="I438" i="17"/>
  <c r="N438" i="17" s="1"/>
  <c r="J438" i="17"/>
  <c r="K438" i="17"/>
  <c r="L438" i="17"/>
  <c r="I439" i="17"/>
  <c r="J439" i="17"/>
  <c r="O439" i="17" s="1"/>
  <c r="K439" i="17"/>
  <c r="L439" i="17"/>
  <c r="M439" i="17" s="1"/>
  <c r="I440" i="17"/>
  <c r="N440" i="17" s="1"/>
  <c r="J440" i="17"/>
  <c r="O440" i="17" s="1"/>
  <c r="K440" i="17"/>
  <c r="L440" i="17"/>
  <c r="I441" i="17"/>
  <c r="J441" i="17"/>
  <c r="K441" i="17"/>
  <c r="L441" i="17"/>
  <c r="I442" i="17"/>
  <c r="J442" i="17"/>
  <c r="O442" i="17" s="1"/>
  <c r="K442" i="17"/>
  <c r="L442" i="17"/>
  <c r="M442" i="17" s="1"/>
  <c r="I443" i="17"/>
  <c r="J443" i="17"/>
  <c r="O443" i="17" s="1"/>
  <c r="K443" i="17"/>
  <c r="L443" i="17"/>
  <c r="I444" i="17"/>
  <c r="J444" i="17"/>
  <c r="K444" i="17"/>
  <c r="L444" i="17"/>
  <c r="I445" i="17"/>
  <c r="J445" i="17"/>
  <c r="O445" i="17" s="1"/>
  <c r="K445" i="17"/>
  <c r="L445" i="17"/>
  <c r="M445" i="17" s="1"/>
  <c r="I446" i="17"/>
  <c r="N446" i="17" s="1"/>
  <c r="J446" i="17"/>
  <c r="K446" i="17"/>
  <c r="L446" i="17"/>
  <c r="I447" i="17"/>
  <c r="J447" i="17"/>
  <c r="K447" i="17"/>
  <c r="L447" i="17"/>
  <c r="I448" i="17"/>
  <c r="J448" i="17"/>
  <c r="O448" i="17" s="1"/>
  <c r="K448" i="17"/>
  <c r="L448" i="17"/>
  <c r="M448" i="17" s="1"/>
  <c r="I449" i="17"/>
  <c r="N449" i="17" s="1"/>
  <c r="J449" i="17"/>
  <c r="O449" i="17" s="1"/>
  <c r="K449" i="17"/>
  <c r="L449" i="17"/>
  <c r="I450" i="17"/>
  <c r="J450" i="17"/>
  <c r="K450" i="17"/>
  <c r="L450" i="17"/>
  <c r="I451" i="17"/>
  <c r="J451" i="17"/>
  <c r="K451" i="17"/>
  <c r="L451" i="17"/>
  <c r="M451" i="17" s="1"/>
  <c r="I452" i="17"/>
  <c r="N452" i="17" s="1"/>
  <c r="J452" i="17"/>
  <c r="K452" i="17"/>
  <c r="L452" i="17"/>
  <c r="I453" i="17"/>
  <c r="N453" i="17" s="1"/>
  <c r="J453" i="17"/>
  <c r="K453" i="17"/>
  <c r="L453" i="17"/>
  <c r="I454" i="17"/>
  <c r="J454" i="17"/>
  <c r="O454" i="17" s="1"/>
  <c r="K454" i="17"/>
  <c r="L454" i="17"/>
  <c r="M454" i="17" s="1"/>
  <c r="I455" i="17"/>
  <c r="N455" i="17" s="1"/>
  <c r="J455" i="17"/>
  <c r="O455" i="17" s="1"/>
  <c r="K455" i="17"/>
  <c r="L455" i="17"/>
  <c r="I456" i="17"/>
  <c r="J456" i="17"/>
  <c r="K456" i="17"/>
  <c r="L456" i="17"/>
  <c r="I457" i="17"/>
  <c r="J457" i="17"/>
  <c r="O457" i="17" s="1"/>
  <c r="K457" i="17"/>
  <c r="L457" i="17"/>
  <c r="M457" i="17" s="1"/>
  <c r="I458" i="17"/>
  <c r="N458" i="17" s="1"/>
  <c r="J458" i="17"/>
  <c r="O458" i="17" s="1"/>
  <c r="K458" i="17"/>
  <c r="L458" i="17"/>
  <c r="I459" i="17"/>
  <c r="N459" i="17" s="1"/>
  <c r="J459" i="17"/>
  <c r="K459" i="17"/>
  <c r="L459" i="17"/>
  <c r="I460" i="17"/>
  <c r="J460" i="17"/>
  <c r="O460" i="17" s="1"/>
  <c r="K460" i="17"/>
  <c r="L460" i="17"/>
  <c r="M460" i="17" s="1"/>
  <c r="I461" i="17"/>
  <c r="N461" i="17" s="1"/>
  <c r="J461" i="17"/>
  <c r="O461" i="17" s="1"/>
  <c r="K461" i="17"/>
  <c r="L461" i="17"/>
  <c r="I462" i="17"/>
  <c r="J462" i="17"/>
  <c r="K462" i="17"/>
  <c r="L462" i="17"/>
  <c r="I463" i="17"/>
  <c r="J463" i="17"/>
  <c r="O463" i="17" s="1"/>
  <c r="K463" i="17"/>
  <c r="L463" i="17"/>
  <c r="M463" i="17" s="1"/>
  <c r="I464" i="17"/>
  <c r="N464" i="17" s="1"/>
  <c r="J464" i="17"/>
  <c r="O464" i="17" s="1"/>
  <c r="K464" i="17"/>
  <c r="L464" i="17"/>
  <c r="I465" i="17"/>
  <c r="N465" i="17" s="1"/>
  <c r="J465" i="17"/>
  <c r="K465" i="17"/>
  <c r="L465" i="17"/>
  <c r="I466" i="17"/>
  <c r="J466" i="17"/>
  <c r="O466" i="17" s="1"/>
  <c r="K466" i="17"/>
  <c r="L466" i="17"/>
  <c r="M466" i="17" s="1"/>
  <c r="I467" i="17"/>
  <c r="N467" i="17" s="1"/>
  <c r="J467" i="17"/>
  <c r="O467" i="17" s="1"/>
  <c r="K467" i="17"/>
  <c r="L467" i="17"/>
  <c r="I468" i="17"/>
  <c r="N468" i="17" s="1"/>
  <c r="J468" i="17"/>
  <c r="K468" i="17"/>
  <c r="L468" i="17"/>
  <c r="I469" i="17"/>
  <c r="J469" i="17"/>
  <c r="O469" i="17" s="1"/>
  <c r="K469" i="17"/>
  <c r="L469" i="17"/>
  <c r="M469" i="17" s="1"/>
  <c r="I470" i="17"/>
  <c r="N470" i="17" s="1"/>
  <c r="J470" i="17"/>
  <c r="K470" i="17"/>
  <c r="L470" i="17"/>
  <c r="I471" i="17"/>
  <c r="N471" i="17" s="1"/>
  <c r="J471" i="17"/>
  <c r="K471" i="17"/>
  <c r="L471" i="17"/>
  <c r="I472" i="17"/>
  <c r="J472" i="17"/>
  <c r="K472" i="17"/>
  <c r="L472" i="17"/>
  <c r="M472" i="17" s="1"/>
  <c r="I473" i="17"/>
  <c r="N473" i="17" s="1"/>
  <c r="J473" i="17"/>
  <c r="K473" i="17"/>
  <c r="L473" i="17"/>
  <c r="I474" i="17"/>
  <c r="J474" i="17"/>
  <c r="K474" i="17"/>
  <c r="L474" i="17"/>
  <c r="I475" i="17"/>
  <c r="J475" i="17"/>
  <c r="O475" i="17" s="1"/>
  <c r="K475" i="17"/>
  <c r="L475" i="17"/>
  <c r="I476" i="17"/>
  <c r="N476" i="17" s="1"/>
  <c r="J476" i="17"/>
  <c r="O476" i="17" s="1"/>
  <c r="K476" i="17"/>
  <c r="L476" i="17"/>
  <c r="I477" i="17"/>
  <c r="N477" i="17" s="1"/>
  <c r="J477" i="17"/>
  <c r="K477" i="17"/>
  <c r="L477" i="17"/>
  <c r="I478" i="17"/>
  <c r="J478" i="17"/>
  <c r="O478" i="17" s="1"/>
  <c r="K478" i="17"/>
  <c r="L478" i="17"/>
  <c r="M478" i="17" s="1"/>
  <c r="I479" i="17"/>
  <c r="N479" i="17" s="1"/>
  <c r="J479" i="17"/>
  <c r="O479" i="17" s="1"/>
  <c r="K479" i="17"/>
  <c r="L479" i="17"/>
  <c r="I480" i="17"/>
  <c r="J480" i="17"/>
  <c r="K480" i="17"/>
  <c r="L480" i="17"/>
  <c r="I481" i="17"/>
  <c r="J481" i="17"/>
  <c r="O481" i="17" s="1"/>
  <c r="K481" i="17"/>
  <c r="L481" i="17"/>
  <c r="M481" i="17" s="1"/>
  <c r="I482" i="17"/>
  <c r="N482" i="17" s="1"/>
  <c r="J482" i="17"/>
  <c r="O482" i="17" s="1"/>
  <c r="K482" i="17"/>
  <c r="L482" i="17"/>
  <c r="I483" i="17"/>
  <c r="N483" i="17" s="1"/>
  <c r="J483" i="17"/>
  <c r="K483" i="17"/>
  <c r="L483" i="17"/>
  <c r="I484" i="17"/>
  <c r="J484" i="17"/>
  <c r="O484" i="17" s="1"/>
  <c r="K484" i="17"/>
  <c r="L484" i="17"/>
  <c r="M484" i="17" s="1"/>
  <c r="I485" i="17"/>
  <c r="N485" i="17" s="1"/>
  <c r="J485" i="17"/>
  <c r="O485" i="17" s="1"/>
  <c r="K485" i="17"/>
  <c r="L485" i="17"/>
  <c r="I486" i="17"/>
  <c r="N486" i="17" s="1"/>
  <c r="J486" i="17"/>
  <c r="K486" i="17"/>
  <c r="L486" i="17"/>
  <c r="I487" i="17"/>
  <c r="J487" i="17"/>
  <c r="K487" i="17"/>
  <c r="L487" i="17"/>
  <c r="M487" i="17" s="1"/>
  <c r="I488" i="17"/>
  <c r="N488" i="17" s="1"/>
  <c r="J488" i="17"/>
  <c r="K488" i="17"/>
  <c r="L488" i="17"/>
  <c r="I489" i="17"/>
  <c r="N489" i="17" s="1"/>
  <c r="J489" i="17"/>
  <c r="K489" i="17"/>
  <c r="L489" i="17"/>
  <c r="I490" i="17"/>
  <c r="J490" i="17"/>
  <c r="O490" i="17" s="1"/>
  <c r="K490" i="17"/>
  <c r="L490" i="17"/>
  <c r="M490" i="17" s="1"/>
  <c r="I491" i="17"/>
  <c r="N491" i="17" s="1"/>
  <c r="J491" i="17"/>
  <c r="O491" i="17" s="1"/>
  <c r="K491" i="17"/>
  <c r="L491" i="17"/>
  <c r="I492" i="17"/>
  <c r="J492" i="17"/>
  <c r="K492" i="17"/>
  <c r="L492" i="17"/>
  <c r="I493" i="17"/>
  <c r="J493" i="17"/>
  <c r="O493" i="17" s="1"/>
  <c r="K493" i="17"/>
  <c r="L493" i="17"/>
  <c r="M493" i="17" s="1"/>
  <c r="I494" i="17"/>
  <c r="N494" i="17" s="1"/>
  <c r="J494" i="17"/>
  <c r="K494" i="17"/>
  <c r="L494" i="17"/>
  <c r="I495" i="17"/>
  <c r="N495" i="17" s="1"/>
  <c r="J495" i="17"/>
  <c r="K495" i="17"/>
  <c r="L495" i="17"/>
  <c r="I496" i="17"/>
  <c r="J496" i="17"/>
  <c r="O496" i="17" s="1"/>
  <c r="K496" i="17"/>
  <c r="L496" i="17"/>
  <c r="M496" i="17" s="1"/>
  <c r="I497" i="17"/>
  <c r="N497" i="17" s="1"/>
  <c r="J497" i="17"/>
  <c r="O497" i="17" s="1"/>
  <c r="K497" i="17"/>
  <c r="L497" i="17"/>
  <c r="I498" i="17"/>
  <c r="J498" i="17"/>
  <c r="K498" i="17"/>
  <c r="L498" i="17"/>
  <c r="I499" i="17"/>
  <c r="J499" i="17"/>
  <c r="O499" i="17" s="1"/>
  <c r="K499" i="17"/>
  <c r="L499" i="17"/>
  <c r="M499" i="17" s="1"/>
  <c r="I500" i="17"/>
  <c r="N500" i="17" s="1"/>
  <c r="J500" i="17"/>
  <c r="O500" i="17" s="1"/>
  <c r="K500" i="17"/>
  <c r="L500" i="17"/>
  <c r="I501" i="17"/>
  <c r="N501" i="17" s="1"/>
  <c r="J501" i="17"/>
  <c r="K501" i="17"/>
  <c r="L501" i="17"/>
  <c r="I502" i="17"/>
  <c r="J502" i="17"/>
  <c r="O502" i="17" s="1"/>
  <c r="K502" i="17"/>
  <c r="L502" i="17"/>
  <c r="I503" i="17"/>
  <c r="N503" i="17" s="1"/>
  <c r="J503" i="17"/>
  <c r="O503" i="17" s="1"/>
  <c r="K503" i="17"/>
  <c r="L503" i="17"/>
  <c r="I504" i="17"/>
  <c r="N504" i="17" s="1"/>
  <c r="J504" i="17"/>
  <c r="K504" i="17"/>
  <c r="L504" i="17"/>
  <c r="I505" i="17"/>
  <c r="J505" i="17"/>
  <c r="O505" i="17" s="1"/>
  <c r="K505" i="17"/>
  <c r="L505" i="17"/>
  <c r="M505" i="17" s="1"/>
  <c r="I506" i="17"/>
  <c r="N506" i="17" s="1"/>
  <c r="J506" i="17"/>
  <c r="O506" i="17" s="1"/>
  <c r="K506" i="17"/>
  <c r="L506" i="17"/>
  <c r="I507" i="17"/>
  <c r="N507" i="17" s="1"/>
  <c r="J507" i="17"/>
  <c r="K507" i="17"/>
  <c r="L507" i="17"/>
  <c r="I508" i="17"/>
  <c r="J508" i="17"/>
  <c r="O508" i="17" s="1"/>
  <c r="K508" i="17"/>
  <c r="L508" i="17"/>
  <c r="M508" i="17" s="1"/>
  <c r="I509" i="17"/>
  <c r="N509" i="17" s="1"/>
  <c r="J509" i="17"/>
  <c r="O509" i="17" s="1"/>
  <c r="K509" i="17"/>
  <c r="L509" i="17"/>
  <c r="I510" i="17"/>
  <c r="J510" i="17"/>
  <c r="K510" i="17"/>
  <c r="L510" i="17"/>
  <c r="I511" i="17"/>
  <c r="J511" i="17"/>
  <c r="O511" i="17" s="1"/>
  <c r="K511" i="17"/>
  <c r="L511" i="17"/>
  <c r="M511" i="17" s="1"/>
  <c r="I512" i="17"/>
  <c r="N512" i="17" s="1"/>
  <c r="J512" i="17"/>
  <c r="O512" i="17" s="1"/>
  <c r="K512" i="17"/>
  <c r="L512" i="17"/>
  <c r="I513" i="17"/>
  <c r="N513" i="17" s="1"/>
  <c r="J513" i="17"/>
  <c r="K513" i="17"/>
  <c r="L513" i="17"/>
  <c r="I514" i="17"/>
  <c r="J514" i="17"/>
  <c r="O514" i="17" s="1"/>
  <c r="K514" i="17"/>
  <c r="L514" i="17"/>
  <c r="M514" i="17" s="1"/>
  <c r="I515" i="17"/>
  <c r="N515" i="17" s="1"/>
  <c r="J515" i="17"/>
  <c r="O515" i="17" s="1"/>
  <c r="K515" i="17"/>
  <c r="L515" i="17"/>
  <c r="I516" i="17"/>
  <c r="J516" i="17"/>
  <c r="K516" i="17"/>
  <c r="L516" i="17"/>
  <c r="I517" i="17"/>
  <c r="J517" i="17"/>
  <c r="O517" i="17" s="1"/>
  <c r="K517" i="17"/>
  <c r="L517" i="17"/>
  <c r="M517" i="17" s="1"/>
  <c r="I518" i="17"/>
  <c r="N518" i="17" s="1"/>
  <c r="J518" i="17"/>
  <c r="O518" i="17" s="1"/>
  <c r="K518" i="17"/>
  <c r="L518" i="17"/>
  <c r="I519" i="17"/>
  <c r="N519" i="17" s="1"/>
  <c r="J519" i="17"/>
  <c r="K519" i="17"/>
  <c r="L519" i="17"/>
  <c r="I520" i="17"/>
  <c r="J520" i="17"/>
  <c r="O520" i="17" s="1"/>
  <c r="K520" i="17"/>
  <c r="L520" i="17"/>
  <c r="M520" i="17" s="1"/>
  <c r="I521" i="17"/>
  <c r="N521" i="17" s="1"/>
  <c r="J521" i="17"/>
  <c r="O521" i="17" s="1"/>
  <c r="K521" i="17"/>
  <c r="L521" i="17"/>
  <c r="I522" i="17"/>
  <c r="N522" i="17" s="1"/>
  <c r="J522" i="17"/>
  <c r="K522" i="17"/>
  <c r="L522" i="17"/>
  <c r="I523" i="17"/>
  <c r="J523" i="17"/>
  <c r="O523" i="17" s="1"/>
  <c r="K523" i="17"/>
  <c r="L523" i="17"/>
  <c r="M523" i="17" s="1"/>
  <c r="I524" i="17"/>
  <c r="N524" i="17" s="1"/>
  <c r="J524" i="17"/>
  <c r="O524" i="17" s="1"/>
  <c r="K524" i="17"/>
  <c r="L524" i="17"/>
  <c r="I525" i="17"/>
  <c r="N525" i="17" s="1"/>
  <c r="J525" i="17"/>
  <c r="K525" i="17"/>
  <c r="L525" i="17"/>
  <c r="I526" i="17"/>
  <c r="J526" i="17"/>
  <c r="O526" i="17" s="1"/>
  <c r="K526" i="17"/>
  <c r="L526" i="17"/>
  <c r="M526" i="17" s="1"/>
  <c r="I527" i="17"/>
  <c r="N527" i="17" s="1"/>
  <c r="J527" i="17"/>
  <c r="O527" i="17" s="1"/>
  <c r="K527" i="17"/>
  <c r="L527" i="17"/>
  <c r="I528" i="17"/>
  <c r="J528" i="17"/>
  <c r="K528" i="17"/>
  <c r="L528" i="17"/>
  <c r="I529" i="17"/>
  <c r="J529" i="17"/>
  <c r="O529" i="17" s="1"/>
  <c r="K529" i="17"/>
  <c r="L529" i="17"/>
  <c r="M529" i="17" s="1"/>
  <c r="I530" i="17"/>
  <c r="N530" i="17" s="1"/>
  <c r="J530" i="17"/>
  <c r="O530" i="17" s="1"/>
  <c r="K530" i="17"/>
  <c r="L530" i="17"/>
  <c r="I531" i="17"/>
  <c r="N531" i="17" s="1"/>
  <c r="J531" i="17"/>
  <c r="K531" i="17"/>
  <c r="L531" i="17"/>
  <c r="I532" i="17"/>
  <c r="J532" i="17"/>
  <c r="O532" i="17" s="1"/>
  <c r="K532" i="17"/>
  <c r="L532" i="17"/>
  <c r="M532" i="17" s="1"/>
  <c r="I533" i="17"/>
  <c r="N533" i="17" s="1"/>
  <c r="J533" i="17"/>
  <c r="O533" i="17" s="1"/>
  <c r="K533" i="17"/>
  <c r="L533" i="17"/>
  <c r="I534" i="17"/>
  <c r="J534" i="17"/>
  <c r="K534" i="17"/>
  <c r="L534" i="17"/>
  <c r="I535" i="17"/>
  <c r="J535" i="17"/>
  <c r="O535" i="17" s="1"/>
  <c r="K535" i="17"/>
  <c r="L535" i="17"/>
  <c r="M535" i="17" s="1"/>
  <c r="I536" i="17"/>
  <c r="N536" i="17" s="1"/>
  <c r="J536" i="17"/>
  <c r="O536" i="17" s="1"/>
  <c r="K536" i="17"/>
  <c r="L536" i="17"/>
  <c r="I537" i="17"/>
  <c r="N537" i="17" s="1"/>
  <c r="J537" i="17"/>
  <c r="K537" i="17"/>
  <c r="L537" i="17"/>
  <c r="I538" i="17"/>
  <c r="J538" i="17"/>
  <c r="O538" i="17" s="1"/>
  <c r="K538" i="17"/>
  <c r="L538" i="17"/>
  <c r="M538" i="17" s="1"/>
  <c r="I539" i="17"/>
  <c r="N539" i="17" s="1"/>
  <c r="J539" i="17"/>
  <c r="O539" i="17" s="1"/>
  <c r="K539" i="17"/>
  <c r="L539" i="17"/>
  <c r="I540" i="17"/>
  <c r="N540" i="17" s="1"/>
  <c r="J540" i="17"/>
  <c r="K540" i="17"/>
  <c r="L540" i="17"/>
  <c r="I541" i="17"/>
  <c r="J541" i="17"/>
  <c r="O541" i="17" s="1"/>
  <c r="K541" i="17"/>
  <c r="L541" i="17"/>
  <c r="M541" i="17" s="1"/>
  <c r="I542" i="17"/>
  <c r="N542" i="17" s="1"/>
  <c r="J542" i="17"/>
  <c r="O542" i="17" s="1"/>
  <c r="K542" i="17"/>
  <c r="L542" i="17"/>
  <c r="I543" i="17"/>
  <c r="N543" i="17" s="1"/>
  <c r="J543" i="17"/>
  <c r="K543" i="17"/>
  <c r="L543" i="17"/>
  <c r="I544" i="17"/>
  <c r="J544" i="17"/>
  <c r="O544" i="17" s="1"/>
  <c r="K544" i="17"/>
  <c r="L544" i="17"/>
  <c r="M544" i="17" s="1"/>
  <c r="I545" i="17"/>
  <c r="N545" i="17" s="1"/>
  <c r="J545" i="17"/>
  <c r="O545" i="17" s="1"/>
  <c r="K545" i="17"/>
  <c r="L545" i="17"/>
  <c r="I546" i="17"/>
  <c r="J546" i="17"/>
  <c r="K546" i="17"/>
  <c r="L546" i="17"/>
  <c r="I547" i="17"/>
  <c r="J547" i="17"/>
  <c r="K547" i="17"/>
  <c r="L547" i="17"/>
  <c r="I548" i="17"/>
  <c r="N548" i="17" s="1"/>
  <c r="J548" i="17"/>
  <c r="O548" i="17" s="1"/>
  <c r="K548" i="17"/>
  <c r="L548" i="17"/>
  <c r="I549" i="17"/>
  <c r="N549" i="17" s="1"/>
  <c r="J549" i="17"/>
  <c r="K549" i="17"/>
  <c r="L549" i="17"/>
  <c r="I550" i="17"/>
  <c r="J550" i="17"/>
  <c r="O550" i="17" s="1"/>
  <c r="K550" i="17"/>
  <c r="L550" i="17"/>
  <c r="M550" i="17" s="1"/>
  <c r="I551" i="17"/>
  <c r="N551" i="17" s="1"/>
  <c r="J551" i="17"/>
  <c r="O551" i="17" s="1"/>
  <c r="K551" i="17"/>
  <c r="L551" i="17"/>
  <c r="I552" i="17"/>
  <c r="J552" i="17"/>
  <c r="K552" i="17"/>
  <c r="L552" i="17"/>
  <c r="I553" i="17"/>
  <c r="J553" i="17"/>
  <c r="O553" i="17" s="1"/>
  <c r="K553" i="17"/>
  <c r="L553" i="17"/>
  <c r="M553" i="17" s="1"/>
  <c r="I554" i="17"/>
  <c r="N554" i="17" s="1"/>
  <c r="J554" i="17"/>
  <c r="O554" i="17" s="1"/>
  <c r="K554" i="17"/>
  <c r="L554" i="17"/>
  <c r="I555" i="17"/>
  <c r="N555" i="17" s="1"/>
  <c r="J555" i="17"/>
  <c r="K555" i="17"/>
  <c r="L555" i="17"/>
  <c r="I556" i="17"/>
  <c r="J556" i="17"/>
  <c r="O556" i="17" s="1"/>
  <c r="K556" i="17"/>
  <c r="L556" i="17"/>
  <c r="M556" i="17" s="1"/>
  <c r="I557" i="17"/>
  <c r="N557" i="17" s="1"/>
  <c r="J557" i="17"/>
  <c r="O557" i="17" s="1"/>
  <c r="K557" i="17"/>
  <c r="L557" i="17"/>
  <c r="I558" i="17"/>
  <c r="N558" i="17" s="1"/>
  <c r="J558" i="17"/>
  <c r="K558" i="17"/>
  <c r="L558" i="17"/>
  <c r="I559" i="17"/>
  <c r="J559" i="17"/>
  <c r="O559" i="17" s="1"/>
  <c r="K559" i="17"/>
  <c r="L559" i="17"/>
  <c r="M559" i="17" s="1"/>
  <c r="I560" i="17"/>
  <c r="N560" i="17" s="1"/>
  <c r="J560" i="17"/>
  <c r="O560" i="17" s="1"/>
  <c r="K560" i="17"/>
  <c r="L560" i="17"/>
  <c r="I561" i="17"/>
  <c r="N561" i="17" s="1"/>
  <c r="J561" i="17"/>
  <c r="K561" i="17"/>
  <c r="L561" i="17"/>
  <c r="I562" i="17"/>
  <c r="J562" i="17"/>
  <c r="O562" i="17" s="1"/>
  <c r="K562" i="17"/>
  <c r="L562" i="17"/>
  <c r="M562" i="17" s="1"/>
  <c r="I563" i="17"/>
  <c r="N563" i="17" s="1"/>
  <c r="J563" i="17"/>
  <c r="O563" i="17" s="1"/>
  <c r="K563" i="17"/>
  <c r="L563" i="17"/>
  <c r="I564" i="17"/>
  <c r="J564" i="17"/>
  <c r="K564" i="17"/>
  <c r="L564" i="17"/>
  <c r="I565" i="17"/>
  <c r="J565" i="17"/>
  <c r="O565" i="17" s="1"/>
  <c r="K565" i="17"/>
  <c r="L565" i="17"/>
  <c r="M565" i="17" s="1"/>
  <c r="I566" i="17"/>
  <c r="N566" i="17" s="1"/>
  <c r="J566" i="17"/>
  <c r="K566" i="17"/>
  <c r="L566" i="17"/>
  <c r="I567" i="17"/>
  <c r="N567" i="17" s="1"/>
  <c r="J567" i="17"/>
  <c r="K567" i="17"/>
  <c r="L567" i="17"/>
  <c r="I568" i="17"/>
  <c r="J568" i="17"/>
  <c r="K568" i="17"/>
  <c r="L568" i="17"/>
  <c r="M568" i="17" s="1"/>
  <c r="I569" i="17"/>
  <c r="N569" i="17" s="1"/>
  <c r="J569" i="17"/>
  <c r="K569" i="17"/>
  <c r="L569" i="17"/>
  <c r="I570" i="17"/>
  <c r="J570" i="17"/>
  <c r="K570" i="17"/>
  <c r="L570" i="17"/>
  <c r="I571" i="17"/>
  <c r="J571" i="17"/>
  <c r="O571" i="17" s="1"/>
  <c r="K571" i="17"/>
  <c r="L571" i="17"/>
  <c r="M571" i="17" s="1"/>
  <c r="I572" i="17"/>
  <c r="N572" i="17" s="1"/>
  <c r="J572" i="17"/>
  <c r="O572" i="17" s="1"/>
  <c r="K572" i="17"/>
  <c r="L572" i="17"/>
  <c r="I573" i="17"/>
  <c r="N573" i="17" s="1"/>
  <c r="J573" i="17"/>
  <c r="K573" i="17"/>
  <c r="L573" i="17"/>
  <c r="I574" i="17"/>
  <c r="J574" i="17"/>
  <c r="O574" i="17" s="1"/>
  <c r="K574" i="17"/>
  <c r="L574" i="17"/>
  <c r="I575" i="17"/>
  <c r="N575" i="17" s="1"/>
  <c r="J575" i="17"/>
  <c r="O575" i="17" s="1"/>
  <c r="K575" i="17"/>
  <c r="L575" i="17"/>
  <c r="I576" i="17"/>
  <c r="N576" i="17" s="1"/>
  <c r="J576" i="17"/>
  <c r="K576" i="17"/>
  <c r="L576" i="17"/>
  <c r="I577" i="17"/>
  <c r="J577" i="17"/>
  <c r="O577" i="17" s="1"/>
  <c r="K577" i="17"/>
  <c r="L577" i="17"/>
  <c r="M577" i="17" s="1"/>
  <c r="I578" i="17"/>
  <c r="N578" i="17" s="1"/>
  <c r="J578" i="17"/>
  <c r="O578" i="17" s="1"/>
  <c r="K578" i="17"/>
  <c r="L578" i="17"/>
  <c r="I579" i="17"/>
  <c r="N579" i="17" s="1"/>
  <c r="J579" i="17"/>
  <c r="K579" i="17"/>
  <c r="L579" i="17"/>
  <c r="I580" i="17"/>
  <c r="J580" i="17"/>
  <c r="O580" i="17" s="1"/>
  <c r="K580" i="17"/>
  <c r="L580" i="17"/>
  <c r="M580" i="17" s="1"/>
  <c r="I581" i="17"/>
  <c r="N581" i="17" s="1"/>
  <c r="J581" i="17"/>
  <c r="O581" i="17" s="1"/>
  <c r="K581" i="17"/>
  <c r="L581" i="17"/>
  <c r="I582" i="17"/>
  <c r="J582" i="17"/>
  <c r="K582" i="17"/>
  <c r="L582" i="17"/>
  <c r="I583" i="17"/>
  <c r="J583" i="17"/>
  <c r="K583" i="17"/>
  <c r="L583" i="17"/>
  <c r="M583" i="17" s="1"/>
  <c r="I584" i="17"/>
  <c r="N584" i="17" s="1"/>
  <c r="J584" i="17"/>
  <c r="K584" i="17"/>
  <c r="L584" i="17"/>
  <c r="I585" i="17"/>
  <c r="N585" i="17" s="1"/>
  <c r="J585" i="17"/>
  <c r="K585" i="17"/>
  <c r="L585" i="17"/>
  <c r="I586" i="17"/>
  <c r="J586" i="17"/>
  <c r="O586" i="17" s="1"/>
  <c r="K586" i="17"/>
  <c r="L586" i="17"/>
  <c r="M586" i="17" s="1"/>
  <c r="I587" i="17"/>
  <c r="N587" i="17" s="1"/>
  <c r="J587" i="17"/>
  <c r="O587" i="17" s="1"/>
  <c r="K587" i="17"/>
  <c r="L587" i="17"/>
  <c r="I588" i="17"/>
  <c r="J588" i="17"/>
  <c r="K588" i="17"/>
  <c r="L588" i="17"/>
  <c r="I589" i="17"/>
  <c r="J589" i="17"/>
  <c r="O589" i="17" s="1"/>
  <c r="K589" i="17"/>
  <c r="L589" i="17"/>
  <c r="M589" i="17" s="1"/>
  <c r="I590" i="17"/>
  <c r="N590" i="17" s="1"/>
  <c r="J590" i="17"/>
  <c r="O590" i="17" s="1"/>
  <c r="K590" i="17"/>
  <c r="L590" i="17"/>
  <c r="I591" i="17"/>
  <c r="N591" i="17" s="1"/>
  <c r="J591" i="17"/>
  <c r="K591" i="17"/>
  <c r="L591" i="17"/>
  <c r="I592" i="17"/>
  <c r="J592" i="17"/>
  <c r="O592" i="17" s="1"/>
  <c r="K592" i="17"/>
  <c r="L592" i="17"/>
  <c r="M592" i="17" s="1"/>
  <c r="I593" i="17"/>
  <c r="N593" i="17" s="1"/>
  <c r="J593" i="17"/>
  <c r="O593" i="17" s="1"/>
  <c r="K593" i="17"/>
  <c r="L593" i="17"/>
  <c r="I594" i="17"/>
  <c r="N594" i="17" s="1"/>
  <c r="J594" i="17"/>
  <c r="K594" i="17"/>
  <c r="L594" i="17"/>
  <c r="I595" i="17"/>
  <c r="J595" i="17"/>
  <c r="O595" i="17" s="1"/>
  <c r="K595" i="17"/>
  <c r="L595" i="17"/>
  <c r="M595" i="17" s="1"/>
  <c r="I596" i="17"/>
  <c r="N596" i="17" s="1"/>
  <c r="J596" i="17"/>
  <c r="O596" i="17" s="1"/>
  <c r="K596" i="17"/>
  <c r="L596" i="17"/>
  <c r="I597" i="17"/>
  <c r="N597" i="17" s="1"/>
  <c r="J597" i="17"/>
  <c r="K597" i="17"/>
  <c r="L597" i="17"/>
  <c r="I598" i="17"/>
  <c r="J598" i="17"/>
  <c r="O598" i="17" s="1"/>
  <c r="K598" i="17"/>
  <c r="L598" i="17"/>
  <c r="M598" i="17" s="1"/>
  <c r="I599" i="17"/>
  <c r="N599" i="17" s="1"/>
  <c r="J599" i="17"/>
  <c r="O599" i="17" s="1"/>
  <c r="K599" i="17"/>
  <c r="L599" i="17"/>
  <c r="I600" i="17"/>
  <c r="J600" i="17"/>
  <c r="K600" i="17"/>
  <c r="L600" i="17"/>
  <c r="I601" i="17"/>
  <c r="J601" i="17"/>
  <c r="O601" i="17" s="1"/>
  <c r="K601" i="17"/>
  <c r="L601" i="17"/>
  <c r="M601" i="17" s="1"/>
  <c r="I602" i="17"/>
  <c r="N602" i="17" s="1"/>
  <c r="J602" i="17"/>
  <c r="O602" i="17" s="1"/>
  <c r="K602" i="17"/>
  <c r="L602" i="17"/>
  <c r="I603" i="17"/>
  <c r="N603" i="17" s="1"/>
  <c r="J603" i="17"/>
  <c r="K603" i="17"/>
  <c r="L603" i="17"/>
  <c r="I604" i="17"/>
  <c r="J604" i="17"/>
  <c r="O604" i="17" s="1"/>
  <c r="K604" i="17"/>
  <c r="L604" i="17"/>
  <c r="M604" i="17" s="1"/>
  <c r="I605" i="17"/>
  <c r="N605" i="17" s="1"/>
  <c r="J605" i="17"/>
  <c r="O605" i="17" s="1"/>
  <c r="K605" i="17"/>
  <c r="L605" i="17"/>
  <c r="I606" i="17"/>
  <c r="J606" i="17"/>
  <c r="K606" i="17"/>
  <c r="L606" i="17"/>
  <c r="I607" i="17"/>
  <c r="J607" i="17"/>
  <c r="O607" i="17" s="1"/>
  <c r="K607" i="17"/>
  <c r="L607" i="17"/>
  <c r="M607" i="17" s="1"/>
  <c r="I608" i="17"/>
  <c r="N608" i="17" s="1"/>
  <c r="J608" i="17"/>
  <c r="O608" i="17" s="1"/>
  <c r="K608" i="17"/>
  <c r="L608" i="17"/>
  <c r="I609" i="17"/>
  <c r="N609" i="17" s="1"/>
  <c r="J609" i="17"/>
  <c r="K609" i="17"/>
  <c r="L609" i="17"/>
  <c r="I610" i="17"/>
  <c r="J610" i="17"/>
  <c r="O610" i="17" s="1"/>
  <c r="K610" i="17"/>
  <c r="L610" i="17"/>
  <c r="M610" i="17" s="1"/>
  <c r="I611" i="17"/>
  <c r="N611" i="17" s="1"/>
  <c r="J611" i="17"/>
  <c r="O611" i="17" s="1"/>
  <c r="K611" i="17"/>
  <c r="L611" i="17"/>
  <c r="I612" i="17"/>
  <c r="N612" i="17" s="1"/>
  <c r="J612" i="17"/>
  <c r="K612" i="17"/>
  <c r="L612" i="17"/>
  <c r="I613" i="17"/>
  <c r="J613" i="17"/>
  <c r="O613" i="17" s="1"/>
  <c r="K613" i="17"/>
  <c r="L613" i="17"/>
  <c r="M613" i="17" s="1"/>
  <c r="I614" i="17"/>
  <c r="N614" i="17" s="1"/>
  <c r="J614" i="17"/>
  <c r="O614" i="17" s="1"/>
  <c r="K614" i="17"/>
  <c r="L614" i="17"/>
  <c r="I615" i="17"/>
  <c r="N615" i="17" s="1"/>
  <c r="J615" i="17"/>
  <c r="K615" i="17"/>
  <c r="L615" i="17"/>
  <c r="I616" i="17"/>
  <c r="J616" i="17"/>
  <c r="O616" i="17" s="1"/>
  <c r="K616" i="17"/>
  <c r="L616" i="17"/>
  <c r="M616" i="17" s="1"/>
  <c r="I617" i="17"/>
  <c r="N617" i="17" s="1"/>
  <c r="J617" i="17"/>
  <c r="O617" i="17" s="1"/>
  <c r="K617" i="17"/>
  <c r="L617" i="17"/>
  <c r="I618" i="17"/>
  <c r="J618" i="17"/>
  <c r="K618" i="17"/>
  <c r="L618" i="17"/>
  <c r="I619" i="17"/>
  <c r="J619" i="17"/>
  <c r="K619" i="17"/>
  <c r="L619" i="17"/>
  <c r="I620" i="17"/>
  <c r="N620" i="17" s="1"/>
  <c r="J620" i="17"/>
  <c r="O620" i="17" s="1"/>
  <c r="K620" i="17"/>
  <c r="L620" i="17"/>
  <c r="I621" i="17"/>
  <c r="N621" i="17" s="1"/>
  <c r="J621" i="17"/>
  <c r="K621" i="17"/>
  <c r="L621" i="17"/>
  <c r="I622" i="17"/>
  <c r="J622" i="17"/>
  <c r="O622" i="17" s="1"/>
  <c r="K622" i="17"/>
  <c r="L622" i="17"/>
  <c r="M622" i="17" s="1"/>
  <c r="I623" i="17"/>
  <c r="N623" i="17" s="1"/>
  <c r="J623" i="17"/>
  <c r="O623" i="17" s="1"/>
  <c r="K623" i="17"/>
  <c r="L623" i="17"/>
  <c r="I624" i="17"/>
  <c r="J624" i="17"/>
  <c r="K624" i="17"/>
  <c r="L624" i="17"/>
  <c r="I625" i="17"/>
  <c r="J625" i="17"/>
  <c r="O625" i="17" s="1"/>
  <c r="K625" i="17"/>
  <c r="L625" i="17"/>
  <c r="M625" i="17" s="1"/>
  <c r="I626" i="17"/>
  <c r="N626" i="17" s="1"/>
  <c r="J626" i="17"/>
  <c r="O626" i="17" s="1"/>
  <c r="K626" i="17"/>
  <c r="L626" i="17"/>
  <c r="I627" i="17"/>
  <c r="N627" i="17" s="1"/>
  <c r="J627" i="17"/>
  <c r="K627" i="17"/>
  <c r="L627" i="17"/>
  <c r="I628" i="17"/>
  <c r="J628" i="17"/>
  <c r="O628" i="17" s="1"/>
  <c r="K628" i="17"/>
  <c r="L628" i="17"/>
  <c r="M628" i="17" s="1"/>
  <c r="I629" i="17"/>
  <c r="N629" i="17" s="1"/>
  <c r="J629" i="17"/>
  <c r="O629" i="17" s="1"/>
  <c r="K629" i="17"/>
  <c r="L629" i="17"/>
  <c r="I630" i="17"/>
  <c r="N630" i="17" s="1"/>
  <c r="J630" i="17"/>
  <c r="K630" i="17"/>
  <c r="L630" i="17"/>
  <c r="I631" i="17"/>
  <c r="J631" i="17"/>
  <c r="O631" i="17" s="1"/>
  <c r="K631" i="17"/>
  <c r="L631" i="17"/>
  <c r="M631" i="17" s="1"/>
  <c r="I632" i="17"/>
  <c r="N632" i="17" s="1"/>
  <c r="J632" i="17"/>
  <c r="O632" i="17" s="1"/>
  <c r="K632" i="17"/>
  <c r="L632" i="17"/>
  <c r="I633" i="17"/>
  <c r="N633" i="17" s="1"/>
  <c r="J633" i="17"/>
  <c r="K633" i="17"/>
  <c r="L633" i="17"/>
  <c r="I634" i="17"/>
  <c r="J634" i="17"/>
  <c r="O634" i="17" s="1"/>
  <c r="K634" i="17"/>
  <c r="L634" i="17"/>
  <c r="M634" i="17" s="1"/>
  <c r="I635" i="17"/>
  <c r="N635" i="17" s="1"/>
  <c r="J635" i="17"/>
  <c r="O635" i="17" s="1"/>
  <c r="K635" i="17"/>
  <c r="L635" i="17"/>
  <c r="I636" i="17"/>
  <c r="J636" i="17"/>
  <c r="K636" i="17"/>
  <c r="L636" i="17"/>
  <c r="I637" i="17"/>
  <c r="J637" i="17"/>
  <c r="O637" i="17" s="1"/>
  <c r="K637" i="17"/>
  <c r="L637" i="17"/>
  <c r="M637" i="17" s="1"/>
  <c r="I638" i="17"/>
  <c r="N638" i="17" s="1"/>
  <c r="J638" i="17"/>
  <c r="O638" i="17" s="1"/>
  <c r="K638" i="17"/>
  <c r="L638" i="17"/>
  <c r="I639" i="17"/>
  <c r="J639" i="17"/>
  <c r="K639" i="17"/>
  <c r="L639" i="17"/>
  <c r="I640" i="17"/>
  <c r="J640" i="17"/>
  <c r="O640" i="17" s="1"/>
  <c r="K640" i="17"/>
  <c r="L640" i="17"/>
  <c r="M640" i="17" s="1"/>
  <c r="I641" i="17"/>
  <c r="N641" i="17" s="1"/>
  <c r="J641" i="17"/>
  <c r="O641" i="17" s="1"/>
  <c r="K641" i="17"/>
  <c r="L641" i="17"/>
  <c r="I642" i="17"/>
  <c r="N642" i="17" s="1"/>
  <c r="J642" i="17"/>
  <c r="K642" i="17"/>
  <c r="L642" i="17"/>
  <c r="I643" i="17"/>
  <c r="J643" i="17"/>
  <c r="K643" i="17"/>
  <c r="L643" i="17"/>
  <c r="M643" i="17" s="1"/>
  <c r="I644" i="17"/>
  <c r="N644" i="17" s="1"/>
  <c r="J644" i="17"/>
  <c r="O644" i="17" s="1"/>
  <c r="K644" i="17"/>
  <c r="L644" i="17"/>
  <c r="I645" i="17"/>
  <c r="J645" i="17"/>
  <c r="K645" i="17"/>
  <c r="L645" i="17"/>
  <c r="I646" i="17"/>
  <c r="N646" i="17" s="1"/>
  <c r="J646" i="17"/>
  <c r="O646" i="17" s="1"/>
  <c r="K646" i="17"/>
  <c r="L646" i="17"/>
  <c r="I647" i="17"/>
  <c r="N647" i="17" s="1"/>
  <c r="J647" i="17"/>
  <c r="O647" i="17" s="1"/>
  <c r="K647" i="17"/>
  <c r="L647" i="17"/>
  <c r="I648" i="17"/>
  <c r="N648" i="17" s="1"/>
  <c r="J648" i="17"/>
  <c r="K648" i="17"/>
  <c r="L648" i="17"/>
  <c r="I649" i="17"/>
  <c r="J649" i="17"/>
  <c r="O649" i="17" s="1"/>
  <c r="K649" i="17"/>
  <c r="L649" i="17"/>
  <c r="M649" i="17" s="1"/>
  <c r="I650" i="17"/>
  <c r="N650" i="17" s="1"/>
  <c r="J650" i="17"/>
  <c r="O650" i="17" s="1"/>
  <c r="K650" i="17"/>
  <c r="L650" i="17"/>
  <c r="I651" i="17"/>
  <c r="N651" i="17" s="1"/>
  <c r="J651" i="17"/>
  <c r="K651" i="17"/>
  <c r="L651" i="17"/>
  <c r="I652" i="17"/>
  <c r="J652" i="17"/>
  <c r="O652" i="17" s="1"/>
  <c r="K652" i="17"/>
  <c r="L652" i="17"/>
  <c r="M652" i="17" s="1"/>
  <c r="I653" i="17"/>
  <c r="N653" i="17" s="1"/>
  <c r="J653" i="17"/>
  <c r="O653" i="17" s="1"/>
  <c r="K653" i="17"/>
  <c r="L653" i="17"/>
  <c r="I654" i="17"/>
  <c r="J654" i="17"/>
  <c r="K654" i="17"/>
  <c r="L654" i="17"/>
  <c r="I655" i="17"/>
  <c r="J655" i="17"/>
  <c r="O655" i="17" s="1"/>
  <c r="K655" i="17"/>
  <c r="L655" i="17"/>
  <c r="M655" i="17" s="1"/>
  <c r="I656" i="17"/>
  <c r="N656" i="17" s="1"/>
  <c r="J656" i="17"/>
  <c r="O656" i="17" s="1"/>
  <c r="K656" i="17"/>
  <c r="L656" i="17"/>
  <c r="I657" i="17"/>
  <c r="J657" i="17"/>
  <c r="K657" i="17"/>
  <c r="L657" i="17"/>
  <c r="I658" i="17"/>
  <c r="J658" i="17"/>
  <c r="O658" i="17" s="1"/>
  <c r="K658" i="17"/>
  <c r="L658" i="17"/>
  <c r="M658" i="17" s="1"/>
  <c r="I659" i="17"/>
  <c r="N659" i="17" s="1"/>
  <c r="J659" i="17"/>
  <c r="O659" i="17" s="1"/>
  <c r="K659" i="17"/>
  <c r="L659" i="17"/>
  <c r="I660" i="17"/>
  <c r="N660" i="17" s="1"/>
  <c r="J660" i="17"/>
  <c r="K660" i="17"/>
  <c r="L660" i="17"/>
  <c r="I661" i="17"/>
  <c r="J661" i="17"/>
  <c r="O661" i="17" s="1"/>
  <c r="K661" i="17"/>
  <c r="L661" i="17"/>
  <c r="M661" i="17" s="1"/>
  <c r="I662" i="17"/>
  <c r="N662" i="17" s="1"/>
  <c r="J662" i="17"/>
  <c r="K662" i="17"/>
  <c r="L662" i="17"/>
  <c r="I663" i="17"/>
  <c r="J663" i="17"/>
  <c r="K663" i="17"/>
  <c r="L663" i="17"/>
  <c r="I664" i="17"/>
  <c r="N664" i="17" s="1"/>
  <c r="J664" i="17"/>
  <c r="K664" i="17"/>
  <c r="L664" i="17"/>
  <c r="M664" i="17" s="1"/>
  <c r="I665" i="17"/>
  <c r="N665" i="17" s="1"/>
  <c r="J665" i="17"/>
  <c r="K665" i="17"/>
  <c r="L665" i="17"/>
  <c r="I666" i="17"/>
  <c r="N666" i="17" s="1"/>
  <c r="J666" i="17"/>
  <c r="K666" i="17"/>
  <c r="L666" i="17"/>
  <c r="I667" i="17"/>
  <c r="J667" i="17"/>
  <c r="O667" i="17" s="1"/>
  <c r="K667" i="17"/>
  <c r="L667" i="17"/>
  <c r="M667" i="17" s="1"/>
  <c r="I668" i="17"/>
  <c r="N668" i="17" s="1"/>
  <c r="J668" i="17"/>
  <c r="O668" i="17" s="1"/>
  <c r="K668" i="17"/>
  <c r="L668" i="17"/>
  <c r="I669" i="17"/>
  <c r="N669" i="17" s="1"/>
  <c r="J669" i="17"/>
  <c r="K669" i="17"/>
  <c r="L669" i="17"/>
  <c r="I670" i="17"/>
  <c r="J670" i="17"/>
  <c r="O670" i="17" s="1"/>
  <c r="K670" i="17"/>
  <c r="L670" i="17"/>
  <c r="M670" i="17" s="1"/>
  <c r="I671" i="17"/>
  <c r="N671" i="17" s="1"/>
  <c r="J671" i="17"/>
  <c r="O671" i="17" s="1"/>
  <c r="K671" i="17"/>
  <c r="L671" i="17"/>
  <c r="I672" i="17"/>
  <c r="J672" i="17"/>
  <c r="K672" i="17"/>
  <c r="L672" i="17"/>
  <c r="I673" i="17"/>
  <c r="J673" i="17"/>
  <c r="O673" i="17" s="1"/>
  <c r="K673" i="17"/>
  <c r="L673" i="17"/>
  <c r="M673" i="17" s="1"/>
  <c r="I674" i="17"/>
  <c r="N674" i="17" s="1"/>
  <c r="J674" i="17"/>
  <c r="O674" i="17" s="1"/>
  <c r="K674" i="17"/>
  <c r="L674" i="17"/>
  <c r="I675" i="17"/>
  <c r="J675" i="17"/>
  <c r="K675" i="17"/>
  <c r="L675" i="17"/>
  <c r="I676" i="17"/>
  <c r="J676" i="17"/>
  <c r="O676" i="17" s="1"/>
  <c r="K676" i="17"/>
  <c r="L676" i="17"/>
  <c r="M676" i="17" s="1"/>
  <c r="I677" i="17"/>
  <c r="N677" i="17" s="1"/>
  <c r="J677" i="17"/>
  <c r="O677" i="17" s="1"/>
  <c r="K677" i="17"/>
  <c r="L677" i="17"/>
  <c r="I678" i="17"/>
  <c r="N678" i="17" s="1"/>
  <c r="J678" i="17"/>
  <c r="K678" i="17"/>
  <c r="L678" i="17"/>
  <c r="I679" i="17"/>
  <c r="J679" i="17"/>
  <c r="K679" i="17"/>
  <c r="L679" i="17"/>
  <c r="M679" i="17" s="1"/>
  <c r="I680" i="17"/>
  <c r="N680" i="17" s="1"/>
  <c r="J680" i="17"/>
  <c r="K680" i="17"/>
  <c r="L680" i="17"/>
  <c r="I681" i="17"/>
  <c r="J681" i="17"/>
  <c r="K681" i="17"/>
  <c r="L681" i="17"/>
  <c r="I682" i="17"/>
  <c r="N682" i="17" s="1"/>
  <c r="J682" i="17"/>
  <c r="O682" i="17" s="1"/>
  <c r="K682" i="17"/>
  <c r="L682" i="17"/>
  <c r="M682" i="17" s="1"/>
  <c r="I683" i="17"/>
  <c r="N683" i="17" s="1"/>
  <c r="J683" i="17"/>
  <c r="O683" i="17" s="1"/>
  <c r="K683" i="17"/>
  <c r="L683" i="17"/>
  <c r="I684" i="17"/>
  <c r="N684" i="17" s="1"/>
  <c r="J684" i="17"/>
  <c r="K684" i="17"/>
  <c r="L684" i="17"/>
  <c r="I685" i="17"/>
  <c r="J685" i="17"/>
  <c r="O685" i="17" s="1"/>
  <c r="K685" i="17"/>
  <c r="L685" i="17"/>
  <c r="M685" i="17" s="1"/>
  <c r="I686" i="17"/>
  <c r="N686" i="17" s="1"/>
  <c r="J686" i="17"/>
  <c r="K686" i="17"/>
  <c r="L686" i="17"/>
  <c r="I687" i="17"/>
  <c r="N687" i="17" s="1"/>
  <c r="J687" i="17"/>
  <c r="K687" i="17"/>
  <c r="L687" i="17"/>
  <c r="I688" i="17"/>
  <c r="J688" i="17"/>
  <c r="O688" i="17" s="1"/>
  <c r="K688" i="17"/>
  <c r="L688" i="17"/>
  <c r="M688" i="17" s="1"/>
  <c r="I689" i="17"/>
  <c r="N689" i="17" s="1"/>
  <c r="J689" i="17"/>
  <c r="O689" i="17" s="1"/>
  <c r="K689" i="17"/>
  <c r="L689" i="17"/>
  <c r="I690" i="17"/>
  <c r="J690" i="17"/>
  <c r="K690" i="17"/>
  <c r="L690" i="17"/>
  <c r="I691" i="17"/>
  <c r="J691" i="17"/>
  <c r="O691" i="17" s="1"/>
  <c r="K691" i="17"/>
  <c r="L691" i="17"/>
  <c r="I692" i="17"/>
  <c r="N692" i="17" s="1"/>
  <c r="J692" i="17"/>
  <c r="O692" i="17" s="1"/>
  <c r="K692" i="17"/>
  <c r="L692" i="17"/>
  <c r="I693" i="17"/>
  <c r="J693" i="17"/>
  <c r="K693" i="17"/>
  <c r="L693" i="17"/>
  <c r="I694" i="17"/>
  <c r="J694" i="17"/>
  <c r="O694" i="17" s="1"/>
  <c r="K694" i="17"/>
  <c r="L694" i="17"/>
  <c r="M694" i="17" s="1"/>
  <c r="I695" i="17"/>
  <c r="N695" i="17" s="1"/>
  <c r="J695" i="17"/>
  <c r="O695" i="17" s="1"/>
  <c r="K695" i="17"/>
  <c r="L695" i="17"/>
  <c r="M695" i="17" s="1"/>
  <c r="I696" i="17"/>
  <c r="N696" i="17" s="1"/>
  <c r="J696" i="17"/>
  <c r="K696" i="17"/>
  <c r="L696" i="17"/>
  <c r="I697" i="17"/>
  <c r="J697" i="17"/>
  <c r="O697" i="17" s="1"/>
  <c r="K697" i="17"/>
  <c r="L697" i="17"/>
  <c r="M697" i="17" s="1"/>
  <c r="I698" i="17"/>
  <c r="N698" i="17" s="1"/>
  <c r="J698" i="17"/>
  <c r="O698" i="17" s="1"/>
  <c r="K698" i="17"/>
  <c r="L698" i="17"/>
  <c r="M698" i="17" s="1"/>
  <c r="I699" i="17"/>
  <c r="J699" i="17"/>
  <c r="K699" i="17"/>
  <c r="L699" i="17"/>
  <c r="I700" i="17"/>
  <c r="N700" i="17" s="1"/>
  <c r="J700" i="17"/>
  <c r="O700" i="17" s="1"/>
  <c r="K700" i="17"/>
  <c r="L700" i="17"/>
  <c r="M700" i="17" s="1"/>
  <c r="I701" i="17"/>
  <c r="N701" i="17" s="1"/>
  <c r="J701" i="17"/>
  <c r="K701" i="17"/>
  <c r="L701" i="17"/>
  <c r="M701" i="17" s="1"/>
  <c r="I702" i="17"/>
  <c r="N702" i="17" s="1"/>
  <c r="J702" i="17"/>
  <c r="K702" i="17"/>
  <c r="L702" i="17"/>
  <c r="I703" i="17"/>
  <c r="J703" i="17"/>
  <c r="O703" i="17" s="1"/>
  <c r="K703" i="17"/>
  <c r="L703" i="17"/>
  <c r="M703" i="17" s="1"/>
  <c r="I704" i="17"/>
  <c r="N704" i="17" s="1"/>
  <c r="J704" i="17"/>
  <c r="O704" i="17" s="1"/>
  <c r="K704" i="17"/>
  <c r="L704" i="17"/>
  <c r="M704" i="17" s="1"/>
  <c r="I705" i="17"/>
  <c r="N705" i="17" s="1"/>
  <c r="J705" i="17"/>
  <c r="K705" i="17"/>
  <c r="L705" i="17"/>
  <c r="I706" i="17"/>
  <c r="J706" i="17"/>
  <c r="O706" i="17" s="1"/>
  <c r="K706" i="17"/>
  <c r="L706" i="17"/>
  <c r="M706" i="17" s="1"/>
  <c r="I707" i="17"/>
  <c r="N707" i="17" s="1"/>
  <c r="J707" i="17"/>
  <c r="O707" i="17" s="1"/>
  <c r="K707" i="17"/>
  <c r="L707" i="17"/>
  <c r="I708" i="17"/>
  <c r="J708" i="17"/>
  <c r="K708" i="17"/>
  <c r="L708" i="17"/>
  <c r="I709" i="17"/>
  <c r="J709" i="17"/>
  <c r="O709" i="17" s="1"/>
  <c r="K709" i="17"/>
  <c r="L709" i="17"/>
  <c r="M709" i="17" s="1"/>
  <c r="I710" i="17"/>
  <c r="N710" i="17" s="1"/>
  <c r="J710" i="17"/>
  <c r="O710" i="17" s="1"/>
  <c r="K710" i="17"/>
  <c r="L710" i="17"/>
  <c r="M710" i="17" s="1"/>
  <c r="I711" i="17"/>
  <c r="J711" i="17"/>
  <c r="K711" i="17"/>
  <c r="L711" i="17"/>
  <c r="I712" i="17"/>
  <c r="J712" i="17"/>
  <c r="O712" i="17" s="1"/>
  <c r="K712" i="17"/>
  <c r="L712" i="17"/>
  <c r="M712" i="17" s="1"/>
  <c r="I713" i="17"/>
  <c r="N713" i="17" s="1"/>
  <c r="J713" i="17"/>
  <c r="O713" i="17" s="1"/>
  <c r="K713" i="17"/>
  <c r="L713" i="17"/>
  <c r="M713" i="17" s="1"/>
  <c r="I714" i="17"/>
  <c r="N714" i="17" s="1"/>
  <c r="J714" i="17"/>
  <c r="K714" i="17"/>
  <c r="L714" i="17"/>
  <c r="I715" i="17"/>
  <c r="J715" i="17"/>
  <c r="O715" i="17" s="1"/>
  <c r="K715" i="17"/>
  <c r="L715" i="17"/>
  <c r="M715" i="17" s="1"/>
  <c r="I716" i="17"/>
  <c r="N716" i="17" s="1"/>
  <c r="J716" i="17"/>
  <c r="K716" i="17"/>
  <c r="L716" i="17"/>
  <c r="I717" i="17"/>
  <c r="J717" i="17"/>
  <c r="K717" i="17"/>
  <c r="L717" i="17"/>
  <c r="I718" i="17"/>
  <c r="N718" i="17" s="1"/>
  <c r="J718" i="17"/>
  <c r="O718" i="17" s="1"/>
  <c r="K718" i="17"/>
  <c r="L718" i="17"/>
  <c r="M718" i="17" s="1"/>
  <c r="I719" i="17"/>
  <c r="N719" i="17" s="1"/>
  <c r="J719" i="17"/>
  <c r="O719" i="17" s="1"/>
  <c r="K719" i="17"/>
  <c r="L719" i="17"/>
  <c r="M719" i="17" s="1"/>
  <c r="I720" i="17"/>
  <c r="N720" i="17" s="1"/>
  <c r="J720" i="17"/>
  <c r="K720" i="17"/>
  <c r="L720" i="17"/>
  <c r="I721" i="17"/>
  <c r="N721" i="17" s="1"/>
  <c r="J721" i="17"/>
  <c r="O721" i="17" s="1"/>
  <c r="K721" i="17"/>
  <c r="L721" i="17"/>
  <c r="M721" i="17" s="1"/>
  <c r="I722" i="17"/>
  <c r="N722" i="17" s="1"/>
  <c r="J722" i="17"/>
  <c r="O722" i="17" s="1"/>
  <c r="K722" i="17"/>
  <c r="L722" i="17"/>
  <c r="M722" i="17" s="1"/>
  <c r="I723" i="17"/>
  <c r="N723" i="17" s="1"/>
  <c r="J723" i="17"/>
  <c r="K723" i="17"/>
  <c r="L723" i="17"/>
  <c r="I724" i="17"/>
  <c r="J724" i="17"/>
  <c r="O724" i="17" s="1"/>
  <c r="K724" i="17"/>
  <c r="L724" i="17"/>
  <c r="M724" i="17" s="1"/>
  <c r="I725" i="17"/>
  <c r="N725" i="17" s="1"/>
  <c r="J725" i="17"/>
  <c r="K725" i="17"/>
  <c r="L725" i="17"/>
  <c r="M725" i="17" s="1"/>
  <c r="I726" i="17"/>
  <c r="J726" i="17"/>
  <c r="K726" i="17"/>
  <c r="L726" i="17"/>
  <c r="I727" i="17"/>
  <c r="J727" i="17"/>
  <c r="O727" i="17" s="1"/>
  <c r="K727" i="17"/>
  <c r="L727" i="17"/>
  <c r="M727" i="17" s="1"/>
  <c r="I728" i="17"/>
  <c r="N728" i="17" s="1"/>
  <c r="J728" i="17"/>
  <c r="O728" i="17" s="1"/>
  <c r="K728" i="17"/>
  <c r="L728" i="17"/>
  <c r="I729" i="17"/>
  <c r="J729" i="17"/>
  <c r="K729" i="17"/>
  <c r="L729" i="17"/>
  <c r="I730" i="17"/>
  <c r="J730" i="17"/>
  <c r="O730" i="17" s="1"/>
  <c r="K730" i="17"/>
  <c r="L730" i="17"/>
  <c r="I731" i="17"/>
  <c r="N731" i="17" s="1"/>
  <c r="J731" i="17"/>
  <c r="O731" i="17" s="1"/>
  <c r="K731" i="17"/>
  <c r="L731" i="17"/>
  <c r="M731" i="17" s="1"/>
  <c r="I732" i="17"/>
  <c r="N732" i="17" s="1"/>
  <c r="J732" i="17"/>
  <c r="K732" i="17"/>
  <c r="L732" i="17"/>
  <c r="I733" i="17"/>
  <c r="J733" i="17"/>
  <c r="O733" i="17" s="1"/>
  <c r="K733" i="17"/>
  <c r="L733" i="17"/>
  <c r="M733" i="17" s="1"/>
  <c r="I734" i="17"/>
  <c r="N734" i="17" s="1"/>
  <c r="J734" i="17"/>
  <c r="O734" i="17" s="1"/>
  <c r="K734" i="17"/>
  <c r="L734" i="17"/>
  <c r="M734" i="17" s="1"/>
  <c r="I735" i="17"/>
  <c r="J735" i="17"/>
  <c r="K735" i="17"/>
  <c r="L735" i="17"/>
  <c r="I736" i="17"/>
  <c r="N736" i="17" s="1"/>
  <c r="J736" i="17"/>
  <c r="O736" i="17" s="1"/>
  <c r="K736" i="17"/>
  <c r="L736" i="17"/>
  <c r="M736" i="17" s="1"/>
  <c r="I737" i="17"/>
  <c r="N737" i="17" s="1"/>
  <c r="J737" i="17"/>
  <c r="O737" i="17" s="1"/>
  <c r="K737" i="17"/>
  <c r="L737" i="17"/>
  <c r="M737" i="17" s="1"/>
  <c r="I738" i="17"/>
  <c r="N738" i="17" s="1"/>
  <c r="J738" i="17"/>
  <c r="K738" i="17"/>
  <c r="L738" i="17"/>
  <c r="I739" i="17"/>
  <c r="N739" i="17" s="1"/>
  <c r="J739" i="17"/>
  <c r="O739" i="17" s="1"/>
  <c r="K739" i="17"/>
  <c r="L739" i="17"/>
  <c r="M739" i="17" s="1"/>
  <c r="I740" i="17"/>
  <c r="N740" i="17" s="1"/>
  <c r="J740" i="17"/>
  <c r="K740" i="17"/>
  <c r="L740" i="17"/>
  <c r="M740" i="17" s="1"/>
  <c r="I741" i="17"/>
  <c r="N741" i="17" s="1"/>
  <c r="J741" i="17"/>
  <c r="K741" i="17"/>
  <c r="L741" i="17"/>
  <c r="I742" i="17"/>
  <c r="J742" i="17"/>
  <c r="O742" i="17" s="1"/>
  <c r="K742" i="17"/>
  <c r="L742" i="17"/>
  <c r="M742" i="17" s="1"/>
  <c r="I743" i="17"/>
  <c r="N743" i="17" s="1"/>
  <c r="J743" i="17"/>
  <c r="O743" i="17" s="1"/>
  <c r="K743" i="17"/>
  <c r="L743" i="17"/>
  <c r="M743" i="17" s="1"/>
  <c r="I744" i="17"/>
  <c r="J744" i="17"/>
  <c r="K744" i="17"/>
  <c r="L744" i="17"/>
  <c r="I745" i="17"/>
  <c r="J745" i="17"/>
  <c r="O745" i="17" s="1"/>
  <c r="K745" i="17"/>
  <c r="L745" i="17"/>
  <c r="M745" i="17" s="1"/>
  <c r="I746" i="17"/>
  <c r="N746" i="17" s="1"/>
  <c r="J746" i="17"/>
  <c r="O746" i="17" s="1"/>
  <c r="K746" i="17"/>
  <c r="L746" i="17"/>
  <c r="M746" i="17" s="1"/>
  <c r="I747" i="17"/>
  <c r="J747" i="17"/>
  <c r="K747" i="17"/>
  <c r="L747" i="17"/>
  <c r="I748" i="17"/>
  <c r="J748" i="17"/>
  <c r="O748" i="17" s="1"/>
  <c r="K748" i="17"/>
  <c r="L748" i="17"/>
  <c r="M748" i="17" s="1"/>
  <c r="I749" i="17"/>
  <c r="N749" i="17" s="1"/>
  <c r="J749" i="17"/>
  <c r="O749" i="17" s="1"/>
  <c r="K749" i="17"/>
  <c r="L749" i="17"/>
  <c r="M749" i="17" s="1"/>
  <c r="I750" i="17"/>
  <c r="N750" i="17" s="1"/>
  <c r="J750" i="17"/>
  <c r="K750" i="17"/>
  <c r="L750" i="17"/>
  <c r="I751" i="17"/>
  <c r="J751" i="17"/>
  <c r="O751" i="17" s="1"/>
  <c r="K751" i="17"/>
  <c r="L751" i="17"/>
  <c r="M751" i="17" s="1"/>
  <c r="I752" i="17"/>
  <c r="N752" i="17" s="1"/>
  <c r="J752" i="17"/>
  <c r="O752" i="17" s="1"/>
  <c r="K752" i="17"/>
  <c r="L752" i="17"/>
  <c r="I753" i="17"/>
  <c r="J753" i="17"/>
  <c r="K753" i="17"/>
  <c r="L753" i="17"/>
  <c r="I754" i="17"/>
  <c r="N754" i="17" s="1"/>
  <c r="J754" i="17"/>
  <c r="O754" i="17" s="1"/>
  <c r="K754" i="17"/>
  <c r="L754" i="17"/>
  <c r="M754" i="17" s="1"/>
  <c r="I755" i="17"/>
  <c r="N755" i="17" s="1"/>
  <c r="J755" i="17"/>
  <c r="O755" i="17" s="1"/>
  <c r="K755" i="17"/>
  <c r="L755" i="17"/>
  <c r="I756" i="17"/>
  <c r="N756" i="17" s="1"/>
  <c r="J756" i="17"/>
  <c r="K756" i="17"/>
  <c r="L756" i="17"/>
  <c r="I757" i="17"/>
  <c r="N757" i="17" s="1"/>
  <c r="J757" i="17"/>
  <c r="O757" i="17" s="1"/>
  <c r="K757" i="17"/>
  <c r="L757" i="17"/>
  <c r="M757" i="17" s="1"/>
  <c r="I758" i="17"/>
  <c r="N758" i="17" s="1"/>
  <c r="J758" i="17"/>
  <c r="O758" i="17" s="1"/>
  <c r="K758" i="17"/>
  <c r="L758" i="17"/>
  <c r="M758" i="17" s="1"/>
  <c r="I759" i="17"/>
  <c r="N759" i="17" s="1"/>
  <c r="J759" i="17"/>
  <c r="K759" i="17"/>
  <c r="L759" i="17"/>
  <c r="I760" i="17"/>
  <c r="J760" i="17"/>
  <c r="K760" i="17"/>
  <c r="L760" i="17"/>
  <c r="M760" i="17" s="1"/>
  <c r="I761" i="17"/>
  <c r="N761" i="17" s="1"/>
  <c r="J761" i="17"/>
  <c r="O761" i="17" s="1"/>
  <c r="K761" i="17"/>
  <c r="L761" i="17"/>
  <c r="M761" i="17" s="1"/>
  <c r="I762" i="17"/>
  <c r="J762" i="17"/>
  <c r="K762" i="17"/>
  <c r="L762" i="17"/>
  <c r="I763" i="17"/>
  <c r="J763" i="17"/>
  <c r="O763" i="17" s="1"/>
  <c r="K763" i="17"/>
  <c r="L763" i="17"/>
  <c r="M763" i="17" s="1"/>
  <c r="I764" i="17"/>
  <c r="N764" i="17" s="1"/>
  <c r="J764" i="17"/>
  <c r="K764" i="17"/>
  <c r="L764" i="17"/>
  <c r="M764" i="17" s="1"/>
  <c r="I765" i="17"/>
  <c r="J765" i="17"/>
  <c r="K765" i="17"/>
  <c r="L765" i="17"/>
  <c r="I766" i="17"/>
  <c r="J766" i="17"/>
  <c r="O766" i="17" s="1"/>
  <c r="K766" i="17"/>
  <c r="L766" i="17"/>
  <c r="M766" i="17" s="1"/>
  <c r="I767" i="17"/>
  <c r="N767" i="17" s="1"/>
  <c r="J767" i="17"/>
  <c r="O767" i="17" s="1"/>
  <c r="K767" i="17"/>
  <c r="L767" i="17"/>
  <c r="I768" i="17"/>
  <c r="N768" i="17" s="1"/>
  <c r="J768" i="17"/>
  <c r="K768" i="17"/>
  <c r="L768" i="17"/>
  <c r="I769" i="17"/>
  <c r="J769" i="17"/>
  <c r="O769" i="17" s="1"/>
  <c r="K769" i="17"/>
  <c r="L769" i="17"/>
  <c r="M769" i="17" s="1"/>
  <c r="I770" i="17"/>
  <c r="N770" i="17" s="1"/>
  <c r="J770" i="17"/>
  <c r="O770" i="17" s="1"/>
  <c r="K770" i="17"/>
  <c r="L770" i="17"/>
  <c r="M770" i="17" s="1"/>
  <c r="I771" i="17"/>
  <c r="J771" i="17"/>
  <c r="K771" i="17"/>
  <c r="L771" i="17"/>
  <c r="I772" i="17"/>
  <c r="N772" i="17" s="1"/>
  <c r="J772" i="17"/>
  <c r="O772" i="17" s="1"/>
  <c r="K772" i="17"/>
  <c r="L772" i="17"/>
  <c r="M772" i="17" s="1"/>
  <c r="I773" i="17"/>
  <c r="N773" i="17" s="1"/>
  <c r="J773" i="17"/>
  <c r="O773" i="17" s="1"/>
  <c r="K773" i="17"/>
  <c r="L773" i="17"/>
  <c r="M773" i="17" s="1"/>
  <c r="I774" i="17"/>
  <c r="N774" i="17" s="1"/>
  <c r="J774" i="17"/>
  <c r="K774" i="17"/>
  <c r="L774" i="17"/>
  <c r="I775" i="17"/>
  <c r="N775" i="17" s="1"/>
  <c r="J775" i="17"/>
  <c r="K775" i="17"/>
  <c r="L775" i="17"/>
  <c r="M775" i="17" s="1"/>
  <c r="I776" i="17"/>
  <c r="N776" i="17" s="1"/>
  <c r="J776" i="17"/>
  <c r="K776" i="17"/>
  <c r="L776" i="17"/>
  <c r="M776" i="17" s="1"/>
  <c r="I777" i="17"/>
  <c r="N777" i="17" s="1"/>
  <c r="J777" i="17"/>
  <c r="K777" i="17"/>
  <c r="L777" i="17"/>
  <c r="I778" i="17"/>
  <c r="J778" i="17"/>
  <c r="O778" i="17" s="1"/>
  <c r="K778" i="17"/>
  <c r="L778" i="17"/>
  <c r="M778" i="17" s="1"/>
  <c r="I779" i="17"/>
  <c r="N779" i="17" s="1"/>
  <c r="J779" i="17"/>
  <c r="O779" i="17" s="1"/>
  <c r="K779" i="17"/>
  <c r="L779" i="17"/>
  <c r="M779" i="17" s="1"/>
  <c r="I780" i="17"/>
  <c r="J780" i="17"/>
  <c r="K780" i="17"/>
  <c r="L780" i="17"/>
  <c r="I781" i="17"/>
  <c r="J781" i="17"/>
  <c r="O781" i="17" s="1"/>
  <c r="K781" i="17"/>
  <c r="L781" i="17"/>
  <c r="M781" i="17" s="1"/>
  <c r="I782" i="17"/>
  <c r="N782" i="17" s="1"/>
  <c r="J782" i="17"/>
  <c r="O782" i="17" s="1"/>
  <c r="K782" i="17"/>
  <c r="L782" i="17"/>
  <c r="M782" i="17" s="1"/>
  <c r="I783" i="17"/>
  <c r="J783" i="17"/>
  <c r="K783" i="17"/>
  <c r="L783" i="17"/>
  <c r="I784" i="17"/>
  <c r="J784" i="17"/>
  <c r="O784" i="17" s="1"/>
  <c r="K784" i="17"/>
  <c r="L784" i="17"/>
  <c r="M784" i="17" s="1"/>
  <c r="I785" i="17"/>
  <c r="N785" i="17" s="1"/>
  <c r="J785" i="17"/>
  <c r="O785" i="17" s="1"/>
  <c r="K785" i="17"/>
  <c r="L785" i="17"/>
  <c r="M785" i="17" s="1"/>
  <c r="I786" i="17"/>
  <c r="N786" i="17" s="1"/>
  <c r="J786" i="17"/>
  <c r="K786" i="17"/>
  <c r="L786" i="17"/>
  <c r="I787" i="17"/>
  <c r="J787" i="17"/>
  <c r="O787" i="17" s="1"/>
  <c r="K787" i="17"/>
  <c r="L787" i="17"/>
  <c r="M787" i="17" s="1"/>
  <c r="I788" i="17"/>
  <c r="N788" i="17" s="1"/>
  <c r="J788" i="17"/>
  <c r="O788" i="17" s="1"/>
  <c r="K788" i="17"/>
  <c r="L788" i="17"/>
  <c r="M788" i="17" s="1"/>
  <c r="I789" i="17"/>
  <c r="N789" i="17" s="1"/>
  <c r="J789" i="17"/>
  <c r="K789" i="17"/>
  <c r="L789" i="17"/>
  <c r="I790" i="17"/>
  <c r="N790" i="17" s="1"/>
  <c r="J790" i="17"/>
  <c r="O790" i="17" s="1"/>
  <c r="K790" i="17"/>
  <c r="L790" i="17"/>
  <c r="I791" i="17"/>
  <c r="N791" i="17" s="1"/>
  <c r="J791" i="17"/>
  <c r="O791" i="17" s="1"/>
  <c r="K791" i="17"/>
  <c r="L791" i="17"/>
  <c r="I792" i="17"/>
  <c r="N792" i="17" s="1"/>
  <c r="J792" i="17"/>
  <c r="K792" i="17"/>
  <c r="L792" i="17"/>
  <c r="I793" i="17"/>
  <c r="J793" i="17"/>
  <c r="O793" i="17" s="1"/>
  <c r="K793" i="17"/>
  <c r="L793" i="17"/>
  <c r="M793" i="17" s="1"/>
  <c r="I794" i="17"/>
  <c r="N794" i="17" s="1"/>
  <c r="J794" i="17"/>
  <c r="O794" i="17" s="1"/>
  <c r="K794" i="17"/>
  <c r="L794" i="17"/>
  <c r="M794" i="17" s="1"/>
  <c r="I795" i="17"/>
  <c r="J795" i="17"/>
  <c r="K795" i="17"/>
  <c r="L795" i="17"/>
  <c r="I796" i="17"/>
  <c r="J796" i="17"/>
  <c r="O796" i="17" s="1"/>
  <c r="K796" i="17"/>
  <c r="L796" i="17"/>
  <c r="M796" i="17" s="1"/>
  <c r="I797" i="17"/>
  <c r="N797" i="17" s="1"/>
  <c r="J797" i="17"/>
  <c r="O797" i="17" s="1"/>
  <c r="K797" i="17"/>
  <c r="L797" i="17"/>
  <c r="M797" i="17" s="1"/>
  <c r="I798" i="17"/>
  <c r="N798" i="17" s="1"/>
  <c r="J798" i="17"/>
  <c r="K798" i="17"/>
  <c r="L798" i="17"/>
  <c r="I799" i="17"/>
  <c r="J799" i="17"/>
  <c r="O799" i="17" s="1"/>
  <c r="K799" i="17"/>
  <c r="L799" i="17"/>
  <c r="M799" i="17" s="1"/>
  <c r="I800" i="17"/>
  <c r="N800" i="17" s="1"/>
  <c r="J800" i="17"/>
  <c r="O800" i="17" s="1"/>
  <c r="K800" i="17"/>
  <c r="L800" i="17"/>
  <c r="M800" i="17" s="1"/>
  <c r="I801" i="17"/>
  <c r="J801" i="17"/>
  <c r="K801" i="17"/>
  <c r="L801" i="17"/>
  <c r="I802" i="17"/>
  <c r="J802" i="17"/>
  <c r="O802" i="17" s="1"/>
  <c r="K802" i="17"/>
  <c r="L802" i="17"/>
  <c r="M802" i="17" s="1"/>
  <c r="I803" i="17"/>
  <c r="N803" i="17" s="1"/>
  <c r="J803" i="17"/>
  <c r="O803" i="17" s="1"/>
  <c r="K803" i="17"/>
  <c r="L803" i="17"/>
  <c r="M803" i="17" s="1"/>
  <c r="I804" i="17"/>
  <c r="N804" i="17" s="1"/>
  <c r="J804" i="17"/>
  <c r="K804" i="17"/>
  <c r="L804" i="17"/>
  <c r="I805" i="17"/>
  <c r="J805" i="17"/>
  <c r="O805" i="17" s="1"/>
  <c r="K805" i="17"/>
  <c r="L805" i="17"/>
  <c r="M805" i="17" s="1"/>
  <c r="I806" i="17"/>
  <c r="N806" i="17" s="1"/>
  <c r="J806" i="17"/>
  <c r="O806" i="17" s="1"/>
  <c r="K806" i="17"/>
  <c r="L806" i="17"/>
  <c r="M806" i="17" s="1"/>
  <c r="I807" i="17"/>
  <c r="N807" i="17" s="1"/>
  <c r="J807" i="17"/>
  <c r="K807" i="17"/>
  <c r="L807" i="17"/>
  <c r="I808" i="17"/>
  <c r="N808" i="17" s="1"/>
  <c r="J808" i="17"/>
  <c r="O808" i="17" s="1"/>
  <c r="K808" i="17"/>
  <c r="L808" i="17"/>
  <c r="M808" i="17" s="1"/>
  <c r="I809" i="17"/>
  <c r="N809" i="17" s="1"/>
  <c r="J809" i="17"/>
  <c r="O809" i="17" s="1"/>
  <c r="K809" i="17"/>
  <c r="L809" i="17"/>
  <c r="M809" i="17" s="1"/>
  <c r="I810" i="17"/>
  <c r="N810" i="17" s="1"/>
  <c r="J810" i="17"/>
  <c r="K810" i="17"/>
  <c r="L810" i="17"/>
  <c r="I811" i="17"/>
  <c r="J811" i="17"/>
  <c r="O811" i="17" s="1"/>
  <c r="K811" i="17"/>
  <c r="L811" i="17"/>
  <c r="M811" i="17" s="1"/>
  <c r="I812" i="17"/>
  <c r="N812" i="17" s="1"/>
  <c r="J812" i="17"/>
  <c r="O812" i="17" s="1"/>
  <c r="K812" i="17"/>
  <c r="L812" i="17"/>
  <c r="I813" i="17"/>
  <c r="J813" i="17"/>
  <c r="K813" i="17"/>
  <c r="L813" i="17"/>
  <c r="I814" i="17"/>
  <c r="J814" i="17"/>
  <c r="O814" i="17" s="1"/>
  <c r="K814" i="17"/>
  <c r="L814" i="17"/>
  <c r="M814" i="17" s="1"/>
  <c r="I815" i="17"/>
  <c r="N815" i="17" s="1"/>
  <c r="J815" i="17"/>
  <c r="O815" i="17" s="1"/>
  <c r="K815" i="17"/>
  <c r="L815" i="17"/>
  <c r="M815" i="17" s="1"/>
  <c r="I816" i="17"/>
  <c r="N816" i="17" s="1"/>
  <c r="J816" i="17"/>
  <c r="K816" i="17"/>
  <c r="L816" i="17"/>
  <c r="I817" i="17"/>
  <c r="J817" i="17"/>
  <c r="O817" i="17" s="1"/>
  <c r="K817" i="17"/>
  <c r="L817" i="17"/>
  <c r="M817" i="17" s="1"/>
  <c r="I818" i="17"/>
  <c r="N818" i="17" s="1"/>
  <c r="J818" i="17"/>
  <c r="O818" i="17" s="1"/>
  <c r="K818" i="17"/>
  <c r="L818" i="17"/>
  <c r="M818" i="17" s="1"/>
  <c r="I819" i="17"/>
  <c r="J819" i="17"/>
  <c r="K819" i="17"/>
  <c r="L819" i="17"/>
  <c r="I820" i="17"/>
  <c r="J820" i="17"/>
  <c r="O820" i="17" s="1"/>
  <c r="K820" i="17"/>
  <c r="L820" i="17"/>
  <c r="M820" i="17" s="1"/>
  <c r="I821" i="17"/>
  <c r="N821" i="17" s="1"/>
  <c r="J821" i="17"/>
  <c r="O821" i="17" s="1"/>
  <c r="K821" i="17"/>
  <c r="L821" i="17"/>
  <c r="M821" i="17" s="1"/>
  <c r="I822" i="17"/>
  <c r="N822" i="17" s="1"/>
  <c r="J822" i="17"/>
  <c r="K822" i="17"/>
  <c r="L822" i="17"/>
  <c r="I823" i="17"/>
  <c r="J823" i="17"/>
  <c r="O823" i="17" s="1"/>
  <c r="K823" i="17"/>
  <c r="L823" i="17"/>
  <c r="M823" i="17" s="1"/>
  <c r="I824" i="17"/>
  <c r="N824" i="17" s="1"/>
  <c r="J824" i="17"/>
  <c r="O824" i="17" s="1"/>
  <c r="K824" i="17"/>
  <c r="L824" i="17"/>
  <c r="M824" i="17" s="1"/>
  <c r="I825" i="17"/>
  <c r="N825" i="17" s="1"/>
  <c r="J825" i="17"/>
  <c r="K825" i="17"/>
  <c r="L825" i="17"/>
  <c r="I826" i="17"/>
  <c r="N826" i="17" s="1"/>
  <c r="J826" i="17"/>
  <c r="O826" i="17" s="1"/>
  <c r="K826" i="17"/>
  <c r="L826" i="17"/>
  <c r="M826" i="17" s="1"/>
  <c r="I827" i="17"/>
  <c r="N827" i="17" s="1"/>
  <c r="J827" i="17"/>
  <c r="O827" i="17" s="1"/>
  <c r="K827" i="17"/>
  <c r="L827" i="17"/>
  <c r="M827" i="17" s="1"/>
  <c r="I828" i="17"/>
  <c r="N828" i="17" s="1"/>
  <c r="J828" i="17"/>
  <c r="K828" i="17"/>
  <c r="L828" i="17"/>
  <c r="I829" i="17"/>
  <c r="J829" i="17"/>
  <c r="O829" i="17" s="1"/>
  <c r="K829" i="17"/>
  <c r="L829" i="17"/>
  <c r="M829" i="17" s="1"/>
  <c r="I830" i="17"/>
  <c r="N830" i="17" s="1"/>
  <c r="J830" i="17"/>
  <c r="O830" i="17" s="1"/>
  <c r="K830" i="17"/>
  <c r="L830" i="17"/>
  <c r="M830" i="17" s="1"/>
  <c r="I831" i="17"/>
  <c r="J831" i="17"/>
  <c r="K831" i="17"/>
  <c r="L831" i="17"/>
  <c r="I832" i="17"/>
  <c r="J832" i="17"/>
  <c r="O832" i="17" s="1"/>
  <c r="K832" i="17"/>
  <c r="L832" i="17"/>
  <c r="M832" i="17" s="1"/>
  <c r="I833" i="17"/>
  <c r="N833" i="17" s="1"/>
  <c r="J833" i="17"/>
  <c r="O833" i="17" s="1"/>
  <c r="K833" i="17"/>
  <c r="L833" i="17"/>
  <c r="M833" i="17" s="1"/>
  <c r="I834" i="17"/>
  <c r="N834" i="17" s="1"/>
  <c r="J834" i="17"/>
  <c r="K834" i="17"/>
  <c r="L834" i="17"/>
  <c r="I835" i="17"/>
  <c r="J835" i="17"/>
  <c r="K835" i="17"/>
  <c r="L835" i="17"/>
  <c r="M835" i="17" s="1"/>
  <c r="I836" i="17"/>
  <c r="N836" i="17" s="1"/>
  <c r="J836" i="17"/>
  <c r="O836" i="17" s="1"/>
  <c r="K836" i="17"/>
  <c r="L836" i="17"/>
  <c r="M836" i="17" s="1"/>
  <c r="I837" i="17"/>
  <c r="J837" i="17"/>
  <c r="K837" i="17"/>
  <c r="L837" i="17"/>
  <c r="I838" i="17"/>
  <c r="J838" i="17"/>
  <c r="O838" i="17" s="1"/>
  <c r="K838" i="17"/>
  <c r="L838" i="17"/>
  <c r="M838" i="17" s="1"/>
  <c r="I839" i="17"/>
  <c r="N839" i="17" s="1"/>
  <c r="J839" i="17"/>
  <c r="O839" i="17" s="1"/>
  <c r="K839" i="17"/>
  <c r="L839" i="17"/>
  <c r="M839" i="17" s="1"/>
  <c r="I840" i="17"/>
  <c r="N840" i="17" s="1"/>
  <c r="J840" i="17"/>
  <c r="K840" i="17"/>
  <c r="L840" i="17"/>
  <c r="I841" i="17"/>
  <c r="J841" i="17"/>
  <c r="O841" i="17" s="1"/>
  <c r="K841" i="17"/>
  <c r="L841" i="17"/>
  <c r="M841" i="17" s="1"/>
  <c r="I842" i="17"/>
  <c r="N842" i="17" s="1"/>
  <c r="J842" i="17"/>
  <c r="O842" i="17" s="1"/>
  <c r="K842" i="17"/>
  <c r="L842" i="17"/>
  <c r="M842" i="17" s="1"/>
  <c r="I843" i="17"/>
  <c r="N843" i="17" s="1"/>
  <c r="J843" i="17"/>
  <c r="K843" i="17"/>
  <c r="L843" i="17"/>
  <c r="I844" i="17"/>
  <c r="N844" i="17" s="1"/>
  <c r="J844" i="17"/>
  <c r="O844" i="17" s="1"/>
  <c r="K844" i="17"/>
  <c r="L844" i="17"/>
  <c r="M844" i="17" s="1"/>
  <c r="I845" i="17"/>
  <c r="N845" i="17" s="1"/>
  <c r="J845" i="17"/>
  <c r="O845" i="17" s="1"/>
  <c r="K845" i="17"/>
  <c r="L845" i="17"/>
  <c r="M845" i="17" s="1"/>
  <c r="I846" i="17"/>
  <c r="N846" i="17" s="1"/>
  <c r="J846" i="17"/>
  <c r="K846" i="17"/>
  <c r="L846" i="17"/>
  <c r="I847" i="17"/>
  <c r="J847" i="17"/>
  <c r="O847" i="17" s="1"/>
  <c r="K847" i="17"/>
  <c r="L847" i="17"/>
  <c r="M847" i="17" s="1"/>
  <c r="I848" i="17"/>
  <c r="N848" i="17" s="1"/>
  <c r="J848" i="17"/>
  <c r="O848" i="17" s="1"/>
  <c r="K848" i="17"/>
  <c r="L848" i="17"/>
  <c r="M848" i="17" s="1"/>
  <c r="I849" i="17"/>
  <c r="J849" i="17"/>
  <c r="K849" i="17"/>
  <c r="L849" i="17"/>
  <c r="I850" i="17"/>
  <c r="J850" i="17"/>
  <c r="O850" i="17" s="1"/>
  <c r="K850" i="17"/>
  <c r="L850" i="17"/>
  <c r="M850" i="17" s="1"/>
  <c r="I851" i="17"/>
  <c r="N851" i="17" s="1"/>
  <c r="J851" i="17"/>
  <c r="O851" i="17" s="1"/>
  <c r="K851" i="17"/>
  <c r="L851" i="17"/>
  <c r="I852" i="17"/>
  <c r="N852" i="17" s="1"/>
  <c r="J852" i="17"/>
  <c r="K852" i="17"/>
  <c r="L852" i="17"/>
  <c r="I853" i="17"/>
  <c r="J853" i="17"/>
  <c r="O853" i="17" s="1"/>
  <c r="K853" i="17"/>
  <c r="L853" i="17"/>
  <c r="M853" i="17" s="1"/>
  <c r="I854" i="17"/>
  <c r="N854" i="17" s="1"/>
  <c r="J854" i="17"/>
  <c r="O854" i="17" s="1"/>
  <c r="K854" i="17"/>
  <c r="L854" i="17"/>
  <c r="M854" i="17" s="1"/>
  <c r="I855" i="17"/>
  <c r="J855" i="17"/>
  <c r="K855" i="17"/>
  <c r="L855" i="17"/>
  <c r="I856" i="17"/>
  <c r="J856" i="17"/>
  <c r="K856" i="17"/>
  <c r="L856" i="17"/>
  <c r="M856" i="17" s="1"/>
  <c r="I857" i="17"/>
  <c r="N857" i="17" s="1"/>
  <c r="J857" i="17"/>
  <c r="O857" i="17" s="1"/>
  <c r="K857" i="17"/>
  <c r="L857" i="17"/>
  <c r="M857" i="17" s="1"/>
  <c r="I858" i="17"/>
  <c r="N858" i="17" s="1"/>
  <c r="J858" i="17"/>
  <c r="K858" i="17"/>
  <c r="L858" i="17"/>
  <c r="I859" i="17"/>
  <c r="J859" i="17"/>
  <c r="K859" i="17"/>
  <c r="L859" i="17"/>
  <c r="M859" i="17" s="1"/>
  <c r="I860" i="17"/>
  <c r="N860" i="17" s="1"/>
  <c r="J860" i="17"/>
  <c r="O860" i="17" s="1"/>
  <c r="K860" i="17"/>
  <c r="L860" i="17"/>
  <c r="I861" i="17"/>
  <c r="N861" i="17" s="1"/>
  <c r="J861" i="17"/>
  <c r="K861" i="17"/>
  <c r="L861" i="17"/>
  <c r="I862" i="17"/>
  <c r="N862" i="17" s="1"/>
  <c r="J862" i="17"/>
  <c r="O862" i="17" s="1"/>
  <c r="K862" i="17"/>
  <c r="L862" i="17"/>
  <c r="M862" i="17" s="1"/>
  <c r="I863" i="17"/>
  <c r="N863" i="17" s="1"/>
  <c r="J863" i="17"/>
  <c r="O863" i="17" s="1"/>
  <c r="K863" i="17"/>
  <c r="L863" i="17"/>
  <c r="M863" i="17" s="1"/>
  <c r="I864" i="17"/>
  <c r="N864" i="17" s="1"/>
  <c r="J864" i="17"/>
  <c r="K864" i="17"/>
  <c r="L864" i="17"/>
  <c r="I865" i="17"/>
  <c r="J865" i="17"/>
  <c r="O865" i="17" s="1"/>
  <c r="K865" i="17"/>
  <c r="L865" i="17"/>
  <c r="M865" i="17" s="1"/>
  <c r="I866" i="17"/>
  <c r="N866" i="17" s="1"/>
  <c r="J866" i="17"/>
  <c r="O866" i="17" s="1"/>
  <c r="K866" i="17"/>
  <c r="L866" i="17"/>
  <c r="M866" i="17" s="1"/>
  <c r="I867" i="17"/>
  <c r="J867" i="17"/>
  <c r="K867" i="17"/>
  <c r="L867" i="17"/>
  <c r="I868" i="17"/>
  <c r="J868" i="17"/>
  <c r="O868" i="17" s="1"/>
  <c r="K868" i="17"/>
  <c r="L868" i="17"/>
  <c r="M868" i="17" s="1"/>
  <c r="I869" i="17"/>
  <c r="N869" i="17" s="1"/>
  <c r="J869" i="17"/>
  <c r="O869" i="17" s="1"/>
  <c r="K869" i="17"/>
  <c r="L869" i="17"/>
  <c r="M869" i="17" s="1"/>
  <c r="I870" i="17"/>
  <c r="N870" i="17" s="1"/>
  <c r="J870" i="17"/>
  <c r="K870" i="17"/>
  <c r="L870" i="17"/>
  <c r="I871" i="17"/>
  <c r="J871" i="17"/>
  <c r="O871" i="17" s="1"/>
  <c r="K871" i="17"/>
  <c r="L871" i="17"/>
  <c r="M871" i="17" s="1"/>
  <c r="I872" i="17"/>
  <c r="N872" i="17" s="1"/>
  <c r="J872" i="17"/>
  <c r="O872" i="17" s="1"/>
  <c r="K872" i="17"/>
  <c r="L872" i="17"/>
  <c r="M872" i="17" s="1"/>
  <c r="I873" i="17"/>
  <c r="J873" i="17"/>
  <c r="K873" i="17"/>
  <c r="L873" i="17"/>
  <c r="I874" i="17"/>
  <c r="J874" i="17"/>
  <c r="O874" i="17" s="1"/>
  <c r="K874" i="17"/>
  <c r="L874" i="17"/>
  <c r="M874" i="17" s="1"/>
  <c r="I875" i="17"/>
  <c r="N875" i="17" s="1"/>
  <c r="J875" i="17"/>
  <c r="O875" i="17" s="1"/>
  <c r="K875" i="17"/>
  <c r="L875" i="17"/>
  <c r="M875" i="17" s="1"/>
  <c r="I876" i="17"/>
  <c r="N876" i="17" s="1"/>
  <c r="J876" i="17"/>
  <c r="K876" i="17"/>
  <c r="L876" i="17"/>
  <c r="I877" i="17"/>
  <c r="J877" i="17"/>
  <c r="O877" i="17" s="1"/>
  <c r="K877" i="17"/>
  <c r="L877" i="17"/>
  <c r="M877" i="17" s="1"/>
  <c r="I878" i="17"/>
  <c r="N878" i="17" s="1"/>
  <c r="J878" i="17"/>
  <c r="O878" i="17" s="1"/>
  <c r="K878" i="17"/>
  <c r="L878" i="17"/>
  <c r="M878" i="17" s="1"/>
  <c r="I879" i="17"/>
  <c r="N879" i="17" s="1"/>
  <c r="J879" i="17"/>
  <c r="K879" i="17"/>
  <c r="L879" i="17"/>
  <c r="I880" i="17"/>
  <c r="N880" i="17" s="1"/>
  <c r="J880" i="17"/>
  <c r="O880" i="17" s="1"/>
  <c r="K880" i="17"/>
  <c r="L880" i="17"/>
  <c r="M880" i="17" s="1"/>
  <c r="I881" i="17"/>
  <c r="N881" i="17" s="1"/>
  <c r="J881" i="17"/>
  <c r="O881" i="17" s="1"/>
  <c r="K881" i="17"/>
  <c r="L881" i="17"/>
  <c r="M881" i="17" s="1"/>
  <c r="I882" i="17"/>
  <c r="N882" i="17" s="1"/>
  <c r="J882" i="17"/>
  <c r="K882" i="17"/>
  <c r="L882" i="17"/>
  <c r="I883" i="17"/>
  <c r="J883" i="17"/>
  <c r="O883" i="17" s="1"/>
  <c r="K883" i="17"/>
  <c r="L883" i="17"/>
  <c r="M883" i="17" s="1"/>
  <c r="I884" i="17"/>
  <c r="N884" i="17" s="1"/>
  <c r="J884" i="17"/>
  <c r="O884" i="17" s="1"/>
  <c r="K884" i="17"/>
  <c r="L884" i="17"/>
  <c r="M884" i="17" s="1"/>
  <c r="I885" i="17"/>
  <c r="J885" i="17"/>
  <c r="K885" i="17"/>
  <c r="L885" i="17"/>
  <c r="I886" i="17"/>
  <c r="J886" i="17"/>
  <c r="O886" i="17" s="1"/>
  <c r="K886" i="17"/>
  <c r="L886" i="17"/>
  <c r="M886" i="17" s="1"/>
  <c r="I887" i="17"/>
  <c r="N887" i="17" s="1"/>
  <c r="J887" i="17"/>
  <c r="O887" i="17" s="1"/>
  <c r="K887" i="17"/>
  <c r="L887" i="17"/>
  <c r="M887" i="17" s="1"/>
  <c r="I888" i="17"/>
  <c r="N888" i="17" s="1"/>
  <c r="J888" i="17"/>
  <c r="K888" i="17"/>
  <c r="L888" i="17"/>
  <c r="I889" i="17"/>
  <c r="J889" i="17"/>
  <c r="O889" i="17" s="1"/>
  <c r="K889" i="17"/>
  <c r="L889" i="17"/>
  <c r="M889" i="17" s="1"/>
  <c r="I890" i="17"/>
  <c r="N890" i="17" s="1"/>
  <c r="J890" i="17"/>
  <c r="K890" i="17"/>
  <c r="L890" i="17"/>
  <c r="M890" i="17" s="1"/>
  <c r="I891" i="17"/>
  <c r="J891" i="17"/>
  <c r="K891" i="17"/>
  <c r="L891" i="17"/>
  <c r="I892" i="17"/>
  <c r="J892" i="17"/>
  <c r="O892" i="17" s="1"/>
  <c r="K892" i="17"/>
  <c r="L892" i="17"/>
  <c r="M892" i="17" s="1"/>
  <c r="I893" i="17"/>
  <c r="N893" i="17" s="1"/>
  <c r="J893" i="17"/>
  <c r="O893" i="17" s="1"/>
  <c r="K893" i="17"/>
  <c r="L893" i="17"/>
  <c r="M893" i="17" s="1"/>
  <c r="I894" i="17"/>
  <c r="N894" i="17" s="1"/>
  <c r="J894" i="17"/>
  <c r="K894" i="17"/>
  <c r="L894" i="17"/>
  <c r="I895" i="17"/>
  <c r="J895" i="17"/>
  <c r="O895" i="17" s="1"/>
  <c r="K895" i="17"/>
  <c r="L895" i="17"/>
  <c r="M895" i="17" s="1"/>
  <c r="I896" i="17"/>
  <c r="N896" i="17" s="1"/>
  <c r="J896" i="17"/>
  <c r="O896" i="17" s="1"/>
  <c r="K896" i="17"/>
  <c r="L896" i="17"/>
  <c r="M896" i="17" s="1"/>
  <c r="I897" i="17"/>
  <c r="N897" i="17" s="1"/>
  <c r="J897" i="17"/>
  <c r="K897" i="17"/>
  <c r="L897" i="17"/>
  <c r="I898" i="17"/>
  <c r="N898" i="17" s="1"/>
  <c r="J898" i="17"/>
  <c r="O898" i="17" s="1"/>
  <c r="K898" i="17"/>
  <c r="L898" i="17"/>
  <c r="M898" i="17" s="1"/>
  <c r="I899" i="17"/>
  <c r="N899" i="17" s="1"/>
  <c r="J899" i="17"/>
  <c r="O899" i="17" s="1"/>
  <c r="K899" i="17"/>
  <c r="L899" i="17"/>
  <c r="M899" i="17" s="1"/>
  <c r="I900" i="17"/>
  <c r="N900" i="17" s="1"/>
  <c r="J900" i="17"/>
  <c r="K900" i="17"/>
  <c r="L900" i="17"/>
  <c r="I901" i="17"/>
  <c r="J901" i="17"/>
  <c r="O901" i="17" s="1"/>
  <c r="K901" i="17"/>
  <c r="L901" i="17"/>
  <c r="M901" i="17" s="1"/>
  <c r="I902" i="17"/>
  <c r="N902" i="17" s="1"/>
  <c r="J902" i="17"/>
  <c r="O902" i="17" s="1"/>
  <c r="K902" i="17"/>
  <c r="L902" i="17"/>
  <c r="M902" i="17" s="1"/>
  <c r="I903" i="17"/>
  <c r="J903" i="17"/>
  <c r="K903" i="17"/>
  <c r="L903" i="17"/>
  <c r="I904" i="17"/>
  <c r="J904" i="17"/>
  <c r="K904" i="17"/>
  <c r="L904" i="17"/>
  <c r="M904" i="17" s="1"/>
  <c r="I905" i="17"/>
  <c r="N905" i="17" s="1"/>
  <c r="J905" i="17"/>
  <c r="O905" i="17" s="1"/>
  <c r="K905" i="17"/>
  <c r="L905" i="17"/>
  <c r="M905" i="17" s="1"/>
  <c r="I906" i="17"/>
  <c r="N906" i="17" s="1"/>
  <c r="J906" i="17"/>
  <c r="K906" i="17"/>
  <c r="L906" i="17"/>
  <c r="I907" i="17"/>
  <c r="J907" i="17"/>
  <c r="O907" i="17" s="1"/>
  <c r="K907" i="17"/>
  <c r="L907" i="17"/>
  <c r="M907" i="17" s="1"/>
  <c r="I908" i="17"/>
  <c r="N908" i="17" s="1"/>
  <c r="J908" i="17"/>
  <c r="O908" i="17" s="1"/>
  <c r="K908" i="17"/>
  <c r="L908" i="17"/>
  <c r="M908" i="17" s="1"/>
  <c r="I909" i="17"/>
  <c r="J909" i="17"/>
  <c r="K909" i="17"/>
  <c r="L909" i="17"/>
  <c r="I910" i="17"/>
  <c r="J910" i="17"/>
  <c r="O910" i="17" s="1"/>
  <c r="K910" i="17"/>
  <c r="L910" i="17"/>
  <c r="I911" i="17"/>
  <c r="N911" i="17" s="1"/>
  <c r="J911" i="17"/>
  <c r="O911" i="17" s="1"/>
  <c r="K911" i="17"/>
  <c r="L911" i="17"/>
  <c r="M911" i="17" s="1"/>
  <c r="I912" i="17"/>
  <c r="N912" i="17" s="1"/>
  <c r="J912" i="17"/>
  <c r="K912" i="17"/>
  <c r="L912" i="17"/>
  <c r="I913" i="17"/>
  <c r="J913" i="17"/>
  <c r="O913" i="17" s="1"/>
  <c r="K913" i="17"/>
  <c r="L913" i="17"/>
  <c r="M913" i="17" s="1"/>
  <c r="I914" i="17"/>
  <c r="N914" i="17" s="1"/>
  <c r="J914" i="17"/>
  <c r="O914" i="17" s="1"/>
  <c r="K914" i="17"/>
  <c r="L914" i="17"/>
  <c r="M914" i="17" s="1"/>
  <c r="I915" i="17"/>
  <c r="N915" i="17" s="1"/>
  <c r="J915" i="17"/>
  <c r="K915" i="17"/>
  <c r="L915" i="17"/>
  <c r="I916" i="17"/>
  <c r="N916" i="17" s="1"/>
  <c r="J916" i="17"/>
  <c r="O916" i="17" s="1"/>
  <c r="K916" i="17"/>
  <c r="L916" i="17"/>
  <c r="M916" i="17" s="1"/>
  <c r="I917" i="17"/>
  <c r="N917" i="17" s="1"/>
  <c r="J917" i="17"/>
  <c r="O917" i="17" s="1"/>
  <c r="K917" i="17"/>
  <c r="L917" i="17"/>
  <c r="M917" i="17" s="1"/>
  <c r="I918" i="17"/>
  <c r="N918" i="17" s="1"/>
  <c r="J918" i="17"/>
  <c r="K918" i="17"/>
  <c r="L918" i="17"/>
  <c r="I919" i="17"/>
  <c r="J919" i="17"/>
  <c r="O919" i="17" s="1"/>
  <c r="K919" i="17"/>
  <c r="L919" i="17"/>
  <c r="M919" i="17" s="1"/>
  <c r="I920" i="17"/>
  <c r="N920" i="17" s="1"/>
  <c r="J920" i="17"/>
  <c r="O920" i="17" s="1"/>
  <c r="K920" i="17"/>
  <c r="L920" i="17"/>
  <c r="M920" i="17" s="1"/>
  <c r="I921" i="17"/>
  <c r="J921" i="17"/>
  <c r="K921" i="17"/>
  <c r="L921" i="17"/>
  <c r="I922" i="17"/>
  <c r="J922" i="17"/>
  <c r="O922" i="17" s="1"/>
  <c r="K922" i="17"/>
  <c r="L922" i="17"/>
  <c r="M922" i="17" s="1"/>
  <c r="I923" i="17"/>
  <c r="N923" i="17" s="1"/>
  <c r="J923" i="17"/>
  <c r="O923" i="17" s="1"/>
  <c r="K923" i="17"/>
  <c r="L923" i="17"/>
  <c r="M923" i="17" s="1"/>
  <c r="I924" i="17"/>
  <c r="N924" i="17" s="1"/>
  <c r="J924" i="17"/>
  <c r="K924" i="17"/>
  <c r="L924" i="17"/>
  <c r="I925" i="17"/>
  <c r="J925" i="17"/>
  <c r="O925" i="17" s="1"/>
  <c r="K925" i="17"/>
  <c r="L925" i="17"/>
  <c r="M925" i="17" s="1"/>
  <c r="I926" i="17"/>
  <c r="N926" i="17" s="1"/>
  <c r="J926" i="17"/>
  <c r="O926" i="17" s="1"/>
  <c r="K926" i="17"/>
  <c r="L926" i="17"/>
  <c r="M926" i="17" s="1"/>
  <c r="I927" i="17"/>
  <c r="J927" i="17"/>
  <c r="K927" i="17"/>
  <c r="L927" i="17"/>
  <c r="I928" i="17"/>
  <c r="J928" i="17"/>
  <c r="O928" i="17" s="1"/>
  <c r="K928" i="17"/>
  <c r="L928" i="17"/>
  <c r="M928" i="17" s="1"/>
  <c r="I929" i="17"/>
  <c r="N929" i="17" s="1"/>
  <c r="J929" i="17"/>
  <c r="K929" i="17"/>
  <c r="L929" i="17"/>
  <c r="M929" i="17" s="1"/>
  <c r="I930" i="17"/>
  <c r="N930" i="17" s="1"/>
  <c r="J930" i="17"/>
  <c r="K930" i="17"/>
  <c r="L930" i="17"/>
  <c r="I931" i="17"/>
  <c r="J931" i="17"/>
  <c r="O931" i="17" s="1"/>
  <c r="K931" i="17"/>
  <c r="L931" i="17"/>
  <c r="M931" i="17" s="1"/>
  <c r="I932" i="17"/>
  <c r="N932" i="17" s="1"/>
  <c r="J932" i="17"/>
  <c r="O932" i="17" s="1"/>
  <c r="K932" i="17"/>
  <c r="L932" i="17"/>
  <c r="M932" i="17" s="1"/>
  <c r="I933" i="17"/>
  <c r="N933" i="17" s="1"/>
  <c r="J933" i="17"/>
  <c r="K933" i="17"/>
  <c r="L933" i="17"/>
  <c r="I934" i="17"/>
  <c r="N934" i="17" s="1"/>
  <c r="J934" i="17"/>
  <c r="O934" i="17" s="1"/>
  <c r="K934" i="17"/>
  <c r="L934" i="17"/>
  <c r="M934" i="17" s="1"/>
  <c r="I935" i="17"/>
  <c r="N935" i="17" s="1"/>
  <c r="J935" i="17"/>
  <c r="O935" i="17" s="1"/>
  <c r="K935" i="17"/>
  <c r="L935" i="17"/>
  <c r="M935" i="17" s="1"/>
  <c r="I936" i="17"/>
  <c r="N936" i="17" s="1"/>
  <c r="J936" i="17"/>
  <c r="K936" i="17"/>
  <c r="L936" i="17"/>
  <c r="I937" i="17"/>
  <c r="J937" i="17"/>
  <c r="O937" i="17" s="1"/>
  <c r="K937" i="17"/>
  <c r="L937" i="17"/>
  <c r="M937" i="17" s="1"/>
  <c r="I938" i="17"/>
  <c r="N938" i="17" s="1"/>
  <c r="J938" i="17"/>
  <c r="O938" i="17" s="1"/>
  <c r="K938" i="17"/>
  <c r="L938" i="17"/>
  <c r="M938" i="17" s="1"/>
  <c r="I939" i="17"/>
  <c r="J939" i="17"/>
  <c r="K939" i="17"/>
  <c r="L939" i="17"/>
  <c r="I940" i="17"/>
  <c r="J940" i="17"/>
  <c r="O940" i="17" s="1"/>
  <c r="K940" i="17"/>
  <c r="L940" i="17"/>
  <c r="M940" i="17" s="1"/>
  <c r="I941" i="17"/>
  <c r="N941" i="17" s="1"/>
  <c r="J941" i="17"/>
  <c r="O941" i="17" s="1"/>
  <c r="K941" i="17"/>
  <c r="L941" i="17"/>
  <c r="M941" i="17" s="1"/>
  <c r="I942" i="17"/>
  <c r="J942" i="17"/>
  <c r="K942" i="17"/>
  <c r="L942" i="17"/>
  <c r="I943" i="17"/>
  <c r="J943" i="17"/>
  <c r="O943" i="17" s="1"/>
  <c r="K943" i="17"/>
  <c r="L943" i="17"/>
  <c r="M943" i="17" s="1"/>
  <c r="I944" i="17"/>
  <c r="N944" i="17" s="1"/>
  <c r="J944" i="17"/>
  <c r="O944" i="17" s="1"/>
  <c r="K944" i="17"/>
  <c r="L944" i="17"/>
  <c r="M944" i="17" s="1"/>
  <c r="I945" i="17"/>
  <c r="N945" i="17" s="1"/>
  <c r="J945" i="17"/>
  <c r="K945" i="17"/>
  <c r="L945" i="17"/>
  <c r="I946" i="17"/>
  <c r="J946" i="17"/>
  <c r="O946" i="17" s="1"/>
  <c r="K946" i="17"/>
  <c r="L946" i="17"/>
  <c r="I947" i="17"/>
  <c r="N947" i="17" s="1"/>
  <c r="J947" i="17"/>
  <c r="O947" i="17" s="1"/>
  <c r="K947" i="17"/>
  <c r="L947" i="17"/>
  <c r="M947" i="17" s="1"/>
  <c r="I948" i="17"/>
  <c r="J948" i="17"/>
  <c r="K948" i="17"/>
  <c r="L948" i="17"/>
  <c r="I949" i="17"/>
  <c r="N949" i="17" s="1"/>
  <c r="J949" i="17"/>
  <c r="O949" i="17" s="1"/>
  <c r="K949" i="17"/>
  <c r="L949" i="17"/>
  <c r="M949" i="17" s="1"/>
  <c r="I950" i="17"/>
  <c r="N950" i="17" s="1"/>
  <c r="J950" i="17"/>
  <c r="O950" i="17" s="1"/>
  <c r="K950" i="17"/>
  <c r="L950" i="17"/>
  <c r="M950" i="17" s="1"/>
  <c r="I951" i="17"/>
  <c r="N951" i="17" s="1"/>
  <c r="J951" i="17"/>
  <c r="K951" i="17"/>
  <c r="L951" i="17"/>
  <c r="I952" i="17"/>
  <c r="N952" i="17" s="1"/>
  <c r="J952" i="17"/>
  <c r="O952" i="17" s="1"/>
  <c r="K952" i="17"/>
  <c r="L952" i="17"/>
  <c r="M952" i="17" s="1"/>
  <c r="I953" i="17"/>
  <c r="N953" i="17" s="1"/>
  <c r="J953" i="17"/>
  <c r="O953" i="17" s="1"/>
  <c r="K953" i="17"/>
  <c r="L953" i="17"/>
  <c r="M953" i="17" s="1"/>
  <c r="I954" i="17"/>
  <c r="N954" i="17" s="1"/>
  <c r="J954" i="17"/>
  <c r="K954" i="17"/>
  <c r="L954" i="17"/>
  <c r="I955" i="17"/>
  <c r="J955" i="17"/>
  <c r="O955" i="17" s="1"/>
  <c r="K955" i="17"/>
  <c r="L955" i="17"/>
  <c r="M955" i="17" s="1"/>
  <c r="I956" i="17"/>
  <c r="N956" i="17" s="1"/>
  <c r="J956" i="17"/>
  <c r="O956" i="17" s="1"/>
  <c r="K956" i="17"/>
  <c r="L956" i="17"/>
  <c r="M956" i="17" s="1"/>
  <c r="I957" i="17"/>
  <c r="N957" i="17" s="1"/>
  <c r="J957" i="17"/>
  <c r="K957" i="17"/>
  <c r="L957" i="17"/>
  <c r="I958" i="17"/>
  <c r="J958" i="17"/>
  <c r="O958" i="17" s="1"/>
  <c r="K958" i="17"/>
  <c r="L958" i="17"/>
  <c r="M958" i="17" s="1"/>
  <c r="I959" i="17"/>
  <c r="N959" i="17" s="1"/>
  <c r="J959" i="17"/>
  <c r="O959" i="17" s="1"/>
  <c r="K959" i="17"/>
  <c r="L959" i="17"/>
  <c r="M959" i="17" s="1"/>
  <c r="I960" i="17"/>
  <c r="J960" i="17"/>
  <c r="K960" i="17"/>
  <c r="L960" i="17"/>
  <c r="I961" i="17"/>
  <c r="J961" i="17"/>
  <c r="O961" i="17" s="1"/>
  <c r="K961" i="17"/>
  <c r="L961" i="17"/>
  <c r="M961" i="17" s="1"/>
  <c r="I962" i="17"/>
  <c r="N962" i="17" s="1"/>
  <c r="J962" i="17"/>
  <c r="K962" i="17"/>
  <c r="L962" i="17"/>
  <c r="M962" i="17" s="1"/>
  <c r="I963" i="17"/>
  <c r="N963" i="17" s="1"/>
  <c r="J963" i="17"/>
  <c r="K963" i="17"/>
  <c r="L963" i="17"/>
  <c r="I964" i="17"/>
  <c r="J964" i="17"/>
  <c r="O964" i="17" s="1"/>
  <c r="K964" i="17"/>
  <c r="L964" i="17"/>
  <c r="M964" i="17" s="1"/>
  <c r="I965" i="17"/>
  <c r="N965" i="17" s="1"/>
  <c r="J965" i="17"/>
  <c r="O965" i="17" s="1"/>
  <c r="K965" i="17"/>
  <c r="L965" i="17"/>
  <c r="M965" i="17" s="1"/>
  <c r="I966" i="17"/>
  <c r="N966" i="17" s="1"/>
  <c r="J966" i="17"/>
  <c r="K966" i="17"/>
  <c r="L966" i="17"/>
  <c r="I967" i="17"/>
  <c r="N967" i="17" s="1"/>
  <c r="J967" i="17"/>
  <c r="O967" i="17" s="1"/>
  <c r="K967" i="17"/>
  <c r="L967" i="17"/>
  <c r="M967" i="17" s="1"/>
  <c r="I968" i="17"/>
  <c r="N968" i="17" s="1"/>
  <c r="J968" i="17"/>
  <c r="O968" i="17" s="1"/>
  <c r="K968" i="17"/>
  <c r="L968" i="17"/>
  <c r="M968" i="17" s="1"/>
  <c r="I969" i="17"/>
  <c r="N969" i="17" s="1"/>
  <c r="J969" i="17"/>
  <c r="K969" i="17"/>
  <c r="L969" i="17"/>
  <c r="M969" i="17" s="1"/>
  <c r="I970" i="17"/>
  <c r="J970" i="17"/>
  <c r="O970" i="17" s="1"/>
  <c r="K970" i="17"/>
  <c r="L970" i="17"/>
  <c r="M970" i="17" s="1"/>
  <c r="I971" i="17"/>
  <c r="N971" i="17" s="1"/>
  <c r="J971" i="17"/>
  <c r="O971" i="17" s="1"/>
  <c r="K971" i="17"/>
  <c r="L971" i="17"/>
  <c r="M971" i="17" s="1"/>
  <c r="I972" i="17"/>
  <c r="N972" i="17" s="1"/>
  <c r="J972" i="17"/>
  <c r="K972" i="17"/>
  <c r="L972" i="17"/>
  <c r="I973" i="17"/>
  <c r="J973" i="17"/>
  <c r="O973" i="17" s="1"/>
  <c r="K973" i="17"/>
  <c r="L973" i="17"/>
  <c r="M973" i="17" s="1"/>
  <c r="I974" i="17"/>
  <c r="N974" i="17" s="1"/>
  <c r="J974" i="17"/>
  <c r="O974" i="17" s="1"/>
  <c r="K974" i="17"/>
  <c r="L974" i="17"/>
  <c r="M974" i="17" s="1"/>
  <c r="I975" i="17"/>
  <c r="N975" i="17" s="1"/>
  <c r="J975" i="17"/>
  <c r="K975" i="17"/>
  <c r="L975" i="17"/>
  <c r="I976" i="17"/>
  <c r="J976" i="17"/>
  <c r="O976" i="17" s="1"/>
  <c r="K976" i="17"/>
  <c r="L976" i="17"/>
  <c r="M976" i="17" s="1"/>
  <c r="I977" i="17"/>
  <c r="N977" i="17" s="1"/>
  <c r="J977" i="17"/>
  <c r="K977" i="17"/>
  <c r="L977" i="17"/>
  <c r="M977" i="17" s="1"/>
  <c r="I978" i="17"/>
  <c r="J978" i="17"/>
  <c r="K978" i="17"/>
  <c r="L978" i="17"/>
  <c r="I979" i="17"/>
  <c r="J979" i="17"/>
  <c r="O979" i="17" s="1"/>
  <c r="K979" i="17"/>
  <c r="L979" i="17"/>
  <c r="M979" i="17" s="1"/>
  <c r="I980" i="17"/>
  <c r="N980" i="17" s="1"/>
  <c r="J980" i="17"/>
  <c r="O980" i="17" s="1"/>
  <c r="K980" i="17"/>
  <c r="L980" i="17"/>
  <c r="M980" i="17" s="1"/>
  <c r="I981" i="17"/>
  <c r="N981" i="17" s="1"/>
  <c r="J981" i="17"/>
  <c r="K981" i="17"/>
  <c r="L981" i="17"/>
  <c r="I982" i="17"/>
  <c r="J982" i="17"/>
  <c r="O982" i="17" s="1"/>
  <c r="K982" i="17"/>
  <c r="L982" i="17"/>
  <c r="I983" i="17"/>
  <c r="N983" i="17" s="1"/>
  <c r="J983" i="17"/>
  <c r="O983" i="17" s="1"/>
  <c r="K983" i="17"/>
  <c r="L983" i="17"/>
  <c r="M983" i="17" s="1"/>
  <c r="I984" i="17"/>
  <c r="N984" i="17" s="1"/>
  <c r="J984" i="17"/>
  <c r="K984" i="17"/>
  <c r="L984" i="17"/>
  <c r="I985" i="17"/>
  <c r="N985" i="17" s="1"/>
  <c r="J985" i="17"/>
  <c r="O985" i="17" s="1"/>
  <c r="K985" i="17"/>
  <c r="L985" i="17"/>
  <c r="M985" i="17" s="1"/>
  <c r="I986" i="17"/>
  <c r="N986" i="17" s="1"/>
  <c r="J986" i="17"/>
  <c r="O986" i="17" s="1"/>
  <c r="K986" i="17"/>
  <c r="L986" i="17"/>
  <c r="M986" i="17" s="1"/>
  <c r="I987" i="17"/>
  <c r="N987" i="17" s="1"/>
  <c r="J987" i="17"/>
  <c r="K987" i="17"/>
  <c r="L987" i="17"/>
  <c r="I988" i="17"/>
  <c r="J988" i="17"/>
  <c r="O988" i="17" s="1"/>
  <c r="K988" i="17"/>
  <c r="L988" i="17"/>
  <c r="M988" i="17" s="1"/>
  <c r="I989" i="17"/>
  <c r="N989" i="17" s="1"/>
  <c r="J989" i="17"/>
  <c r="O989" i="17" s="1"/>
  <c r="K989" i="17"/>
  <c r="L989" i="17"/>
  <c r="M989" i="17" s="1"/>
  <c r="I990" i="17"/>
  <c r="N990" i="17" s="1"/>
  <c r="J990" i="17"/>
  <c r="K990" i="17"/>
  <c r="L990" i="17"/>
  <c r="I991" i="17"/>
  <c r="J991" i="17"/>
  <c r="O991" i="17" s="1"/>
  <c r="K991" i="17"/>
  <c r="L991" i="17"/>
  <c r="M991" i="17" s="1"/>
  <c r="I992" i="17"/>
  <c r="N992" i="17" s="1"/>
  <c r="J992" i="17"/>
  <c r="O992" i="17" s="1"/>
  <c r="K992" i="17"/>
  <c r="L992" i="17"/>
  <c r="M992" i="17" s="1"/>
  <c r="I993" i="17"/>
  <c r="N993" i="17" s="1"/>
  <c r="J993" i="17"/>
  <c r="K993" i="17"/>
  <c r="L993" i="17"/>
  <c r="I994" i="17"/>
  <c r="J994" i="17"/>
  <c r="O994" i="17" s="1"/>
  <c r="K994" i="17"/>
  <c r="L994" i="17"/>
  <c r="M994" i="17" s="1"/>
  <c r="I995" i="17"/>
  <c r="N995" i="17" s="1"/>
  <c r="J995" i="17"/>
  <c r="O995" i="17" s="1"/>
  <c r="K995" i="17"/>
  <c r="L995" i="17"/>
  <c r="M995" i="17" s="1"/>
  <c r="I996" i="17"/>
  <c r="J996" i="17"/>
  <c r="O996" i="17" s="1"/>
  <c r="K996" i="17"/>
  <c r="L996" i="17"/>
  <c r="I997" i="17"/>
  <c r="J997" i="17"/>
  <c r="O997" i="17" s="1"/>
  <c r="K997" i="17"/>
  <c r="L997" i="17"/>
  <c r="M997" i="17" s="1"/>
  <c r="I998" i="17"/>
  <c r="N998" i="17" s="1"/>
  <c r="J998" i="17"/>
  <c r="O998" i="17" s="1"/>
  <c r="K998" i="17"/>
  <c r="L998" i="17"/>
  <c r="M998" i="17" s="1"/>
  <c r="I999" i="17"/>
  <c r="N999" i="17" s="1"/>
  <c r="J999" i="17"/>
  <c r="K999" i="17"/>
  <c r="L999" i="17"/>
  <c r="I1000" i="17"/>
  <c r="J1000" i="17"/>
  <c r="O1000" i="17" s="1"/>
  <c r="K1000" i="17"/>
  <c r="L1000" i="17"/>
  <c r="M1000" i="17" s="1"/>
  <c r="I1001" i="17"/>
  <c r="N1001" i="17" s="1"/>
  <c r="J1001" i="17"/>
  <c r="K1001" i="17"/>
  <c r="L1001" i="17"/>
  <c r="M1001" i="17" s="1"/>
  <c r="J2" i="17"/>
  <c r="K2" i="17"/>
  <c r="L2" i="17"/>
  <c r="I2" i="17"/>
  <c r="N2" i="17" s="1"/>
  <c r="M2" i="17"/>
  <c r="O3" i="17"/>
  <c r="O4" i="17"/>
  <c r="O5" i="17"/>
  <c r="O6" i="17"/>
  <c r="O7" i="17"/>
  <c r="O9" i="17"/>
  <c r="O12" i="17"/>
  <c r="O14" i="17"/>
  <c r="O15" i="17"/>
  <c r="O17" i="17"/>
  <c r="O18" i="17"/>
  <c r="O20" i="17"/>
  <c r="O21" i="17"/>
  <c r="O24" i="17"/>
  <c r="O26" i="17"/>
  <c r="O27" i="17"/>
  <c r="O28" i="17"/>
  <c r="O29" i="17"/>
  <c r="O30" i="17"/>
  <c r="O32" i="17"/>
  <c r="O33" i="17"/>
  <c r="O36" i="17"/>
  <c r="O38" i="17"/>
  <c r="O39" i="17"/>
  <c r="O40" i="17"/>
  <c r="O41" i="17"/>
  <c r="O42" i="17"/>
  <c r="O43" i="17"/>
  <c r="O44" i="17"/>
  <c r="O45" i="17"/>
  <c r="O48" i="17"/>
  <c r="O50" i="17"/>
  <c r="O51" i="17"/>
  <c r="O53" i="17"/>
  <c r="O54" i="17"/>
  <c r="O55" i="17"/>
  <c r="O56" i="17"/>
  <c r="O57" i="17"/>
  <c r="O60" i="17"/>
  <c r="O62" i="17"/>
  <c r="O63" i="17"/>
  <c r="O65" i="17"/>
  <c r="O66" i="17"/>
  <c r="O68" i="17"/>
  <c r="O69" i="17"/>
  <c r="O72" i="17"/>
  <c r="O74" i="17"/>
  <c r="O75" i="17"/>
  <c r="O76" i="17"/>
  <c r="O77" i="17"/>
  <c r="O78" i="17"/>
  <c r="O80" i="17"/>
  <c r="O81" i="17"/>
  <c r="O84" i="17"/>
  <c r="O86" i="17"/>
  <c r="O87" i="17"/>
  <c r="O89" i="17"/>
  <c r="O90" i="17"/>
  <c r="O91" i="17"/>
  <c r="O92" i="17"/>
  <c r="O93" i="17"/>
  <c r="O96" i="17"/>
  <c r="O98" i="17"/>
  <c r="O99" i="17"/>
  <c r="O101" i="17"/>
  <c r="O102" i="17"/>
  <c r="O104" i="17"/>
  <c r="O105" i="17"/>
  <c r="O108" i="17"/>
  <c r="O110" i="17"/>
  <c r="O111" i="17"/>
  <c r="O113" i="17"/>
  <c r="O114" i="17"/>
  <c r="O116" i="17"/>
  <c r="O117" i="17"/>
  <c r="O120" i="17"/>
  <c r="O122" i="17"/>
  <c r="O123" i="17"/>
  <c r="O124" i="17"/>
  <c r="O125" i="17"/>
  <c r="O126" i="17"/>
  <c r="O128" i="17"/>
  <c r="O129" i="17"/>
  <c r="O132" i="17"/>
  <c r="O134" i="17"/>
  <c r="O135" i="17"/>
  <c r="O137" i="17"/>
  <c r="O138" i="17"/>
  <c r="O140" i="17"/>
  <c r="O141" i="17"/>
  <c r="O144" i="17"/>
  <c r="O147" i="17"/>
  <c r="O149" i="17"/>
  <c r="O150" i="17"/>
  <c r="O152" i="17"/>
  <c r="O153" i="17"/>
  <c r="O156" i="17"/>
  <c r="O159" i="17"/>
  <c r="O162" i="17"/>
  <c r="O163" i="17"/>
  <c r="O164" i="17"/>
  <c r="O165" i="17"/>
  <c r="O168" i="17"/>
  <c r="O170" i="17"/>
  <c r="O171" i="17"/>
  <c r="O174" i="17"/>
  <c r="O177" i="17"/>
  <c r="O180" i="17"/>
  <c r="O182" i="17"/>
  <c r="O183" i="17"/>
  <c r="O184" i="17"/>
  <c r="O185" i="17"/>
  <c r="O186" i="17"/>
  <c r="O187" i="17"/>
  <c r="O189" i="17"/>
  <c r="O192" i="17"/>
  <c r="O195" i="17"/>
  <c r="O197" i="17"/>
  <c r="O198" i="17"/>
  <c r="O200" i="17"/>
  <c r="O201" i="17"/>
  <c r="O204" i="17"/>
  <c r="O207" i="17"/>
  <c r="O210" i="17"/>
  <c r="O211" i="17"/>
  <c r="O213" i="17"/>
  <c r="O216" i="17"/>
  <c r="O218" i="17"/>
  <c r="O219" i="17"/>
  <c r="O222" i="17"/>
  <c r="O225" i="17"/>
  <c r="O228" i="17"/>
  <c r="O230" i="17"/>
  <c r="O231" i="17"/>
  <c r="O232" i="17"/>
  <c r="O234" i="17"/>
  <c r="O235" i="17"/>
  <c r="O237" i="17"/>
  <c r="O240" i="17"/>
  <c r="O243" i="17"/>
  <c r="O245" i="17"/>
  <c r="O246" i="17"/>
  <c r="O247" i="17"/>
  <c r="O248" i="17"/>
  <c r="O249" i="17"/>
  <c r="O252" i="17"/>
  <c r="O255" i="17"/>
  <c r="O258" i="17"/>
  <c r="O260" i="17"/>
  <c r="O261" i="17"/>
  <c r="O264" i="17"/>
  <c r="O266" i="17"/>
  <c r="O267" i="17"/>
  <c r="O270" i="17"/>
  <c r="O273" i="17"/>
  <c r="O276" i="17"/>
  <c r="O278" i="17"/>
  <c r="O279" i="17"/>
  <c r="O281" i="17"/>
  <c r="O282" i="17"/>
  <c r="O285" i="17"/>
  <c r="O288" i="17"/>
  <c r="O291" i="17"/>
  <c r="O293" i="17"/>
  <c r="O294" i="17"/>
  <c r="O295" i="17"/>
  <c r="O296" i="17"/>
  <c r="O297" i="17"/>
  <c r="O300" i="17"/>
  <c r="O303" i="17"/>
  <c r="O306" i="17"/>
  <c r="O308" i="17"/>
  <c r="O309" i="17"/>
  <c r="O312" i="17"/>
  <c r="O314" i="17"/>
  <c r="O315" i="17"/>
  <c r="O316" i="17"/>
  <c r="O318" i="17"/>
  <c r="O321" i="17"/>
  <c r="O324" i="17"/>
  <c r="O326" i="17"/>
  <c r="O327" i="17"/>
  <c r="O329" i="17"/>
  <c r="O330" i="17"/>
  <c r="O331" i="17"/>
  <c r="O333" i="17"/>
  <c r="O336" i="17"/>
  <c r="O339" i="17"/>
  <c r="O340" i="17"/>
  <c r="O342" i="17"/>
  <c r="O345" i="17"/>
  <c r="O348" i="17"/>
  <c r="O350" i="17"/>
  <c r="O351" i="17"/>
  <c r="O354" i="17"/>
  <c r="O356" i="17"/>
  <c r="O357" i="17"/>
  <c r="O360" i="17"/>
  <c r="O363" i="17"/>
  <c r="O366" i="17"/>
  <c r="O369" i="17"/>
  <c r="O372" i="17"/>
  <c r="O374" i="17"/>
  <c r="O375" i="17"/>
  <c r="O376" i="17"/>
  <c r="O377" i="17"/>
  <c r="O378" i="17"/>
  <c r="O381" i="17"/>
  <c r="O384" i="17"/>
  <c r="O387" i="17"/>
  <c r="O389" i="17"/>
  <c r="O390" i="17"/>
  <c r="O392" i="17"/>
  <c r="O393" i="17"/>
  <c r="O396" i="17"/>
  <c r="O398" i="17"/>
  <c r="O399" i="17"/>
  <c r="O402" i="17"/>
  <c r="O405" i="17"/>
  <c r="O408" i="17"/>
  <c r="O411" i="17"/>
  <c r="O413" i="17"/>
  <c r="O414" i="17"/>
  <c r="O417" i="17"/>
  <c r="O420" i="17"/>
  <c r="O423" i="17"/>
  <c r="O426" i="17"/>
  <c r="O427" i="17"/>
  <c r="O429" i="17"/>
  <c r="O432" i="17"/>
  <c r="O435" i="17"/>
  <c r="O437" i="17"/>
  <c r="O438" i="17"/>
  <c r="O441" i="17"/>
  <c r="O444" i="17"/>
  <c r="O446" i="17"/>
  <c r="O447" i="17"/>
  <c r="O450" i="17"/>
  <c r="O451" i="17"/>
  <c r="O452" i="17"/>
  <c r="O453" i="17"/>
  <c r="O456" i="17"/>
  <c r="O459" i="17"/>
  <c r="O462" i="17"/>
  <c r="O465" i="17"/>
  <c r="O468" i="17"/>
  <c r="O470" i="17"/>
  <c r="O471" i="17"/>
  <c r="O472" i="17"/>
  <c r="O473" i="17"/>
  <c r="O474" i="17"/>
  <c r="O477" i="17"/>
  <c r="O480" i="17"/>
  <c r="O483" i="17"/>
  <c r="O486" i="17"/>
  <c r="O487" i="17"/>
  <c r="O488" i="17"/>
  <c r="O489" i="17"/>
  <c r="O492" i="17"/>
  <c r="O494" i="17"/>
  <c r="O495" i="17"/>
  <c r="O498" i="17"/>
  <c r="O501" i="17"/>
  <c r="O504" i="17"/>
  <c r="O507" i="17"/>
  <c r="O510" i="17"/>
  <c r="O513" i="17"/>
  <c r="O516" i="17"/>
  <c r="O519" i="17"/>
  <c r="O522" i="17"/>
  <c r="O525" i="17"/>
  <c r="O528" i="17"/>
  <c r="O531" i="17"/>
  <c r="O534" i="17"/>
  <c r="O537" i="17"/>
  <c r="O540" i="17"/>
  <c r="O543" i="17"/>
  <c r="O546" i="17"/>
  <c r="O547" i="17"/>
  <c r="O549" i="17"/>
  <c r="O552" i="17"/>
  <c r="O555" i="17"/>
  <c r="O558" i="17"/>
  <c r="O561" i="17"/>
  <c r="O564" i="17"/>
  <c r="O566" i="17"/>
  <c r="O567" i="17"/>
  <c r="O568" i="17"/>
  <c r="O569" i="17"/>
  <c r="O570" i="17"/>
  <c r="O573" i="17"/>
  <c r="O576" i="17"/>
  <c r="O579" i="17"/>
  <c r="O582" i="17"/>
  <c r="O583" i="17"/>
  <c r="O584" i="17"/>
  <c r="O585" i="17"/>
  <c r="O588" i="17"/>
  <c r="O591" i="17"/>
  <c r="O594" i="17"/>
  <c r="O597" i="17"/>
  <c r="O600" i="17"/>
  <c r="O603" i="17"/>
  <c r="O606" i="17"/>
  <c r="O609" i="17"/>
  <c r="O612" i="17"/>
  <c r="O615" i="17"/>
  <c r="O618" i="17"/>
  <c r="O619" i="17"/>
  <c r="O621" i="17"/>
  <c r="O624" i="17"/>
  <c r="O627" i="17"/>
  <c r="O630" i="17"/>
  <c r="O633" i="17"/>
  <c r="O636" i="17"/>
  <c r="O639" i="17"/>
  <c r="O642" i="17"/>
  <c r="O643" i="17"/>
  <c r="O645" i="17"/>
  <c r="O648" i="17"/>
  <c r="O651" i="17"/>
  <c r="O654" i="17"/>
  <c r="O657" i="17"/>
  <c r="O660" i="17"/>
  <c r="O662" i="17"/>
  <c r="O663" i="17"/>
  <c r="O664" i="17"/>
  <c r="O665" i="17"/>
  <c r="O666" i="17"/>
  <c r="O669" i="17"/>
  <c r="O672" i="17"/>
  <c r="O675" i="17"/>
  <c r="O678" i="17"/>
  <c r="O679" i="17"/>
  <c r="O680" i="17"/>
  <c r="O681" i="17"/>
  <c r="O684" i="17"/>
  <c r="O686" i="17"/>
  <c r="O687" i="17"/>
  <c r="O690" i="17"/>
  <c r="O693" i="17"/>
  <c r="O696" i="17"/>
  <c r="O699" i="17"/>
  <c r="O701" i="17"/>
  <c r="O702" i="17"/>
  <c r="O705" i="17"/>
  <c r="O708" i="17"/>
  <c r="O711" i="17"/>
  <c r="O714" i="17"/>
  <c r="O716" i="17"/>
  <c r="O717" i="17"/>
  <c r="O720" i="17"/>
  <c r="O723" i="17"/>
  <c r="O725" i="17"/>
  <c r="O726" i="17"/>
  <c r="O729" i="17"/>
  <c r="O732" i="17"/>
  <c r="O735" i="17"/>
  <c r="O738" i="17"/>
  <c r="O740" i="17"/>
  <c r="O741" i="17"/>
  <c r="O744" i="17"/>
  <c r="O747" i="17"/>
  <c r="O750" i="17"/>
  <c r="O753" i="17"/>
  <c r="O756" i="17"/>
  <c r="O759" i="17"/>
  <c r="O760" i="17"/>
  <c r="O762" i="17"/>
  <c r="O764" i="17"/>
  <c r="O765" i="17"/>
  <c r="O768" i="17"/>
  <c r="O771" i="17"/>
  <c r="O774" i="17"/>
  <c r="O775" i="17"/>
  <c r="O776" i="17"/>
  <c r="O777" i="17"/>
  <c r="O780" i="17"/>
  <c r="O783" i="17"/>
  <c r="O786" i="17"/>
  <c r="O789" i="17"/>
  <c r="O792" i="17"/>
  <c r="O795" i="17"/>
  <c r="O798" i="17"/>
  <c r="O801" i="17"/>
  <c r="O804" i="17"/>
  <c r="O807" i="17"/>
  <c r="O810" i="17"/>
  <c r="O813" i="17"/>
  <c r="O816" i="17"/>
  <c r="O819" i="17"/>
  <c r="O822" i="17"/>
  <c r="O825" i="17"/>
  <c r="O828" i="17"/>
  <c r="O831" i="17"/>
  <c r="O834" i="17"/>
  <c r="O835" i="17"/>
  <c r="O837" i="17"/>
  <c r="O840" i="17"/>
  <c r="O843" i="17"/>
  <c r="O846" i="17"/>
  <c r="O849" i="17"/>
  <c r="O852" i="17"/>
  <c r="O855" i="17"/>
  <c r="O856" i="17"/>
  <c r="O858" i="17"/>
  <c r="O859" i="17"/>
  <c r="O861" i="17"/>
  <c r="O864" i="17"/>
  <c r="O867" i="17"/>
  <c r="O870" i="17"/>
  <c r="O873" i="17"/>
  <c r="O876" i="17"/>
  <c r="O879" i="17"/>
  <c r="O882" i="17"/>
  <c r="O885" i="17"/>
  <c r="O888" i="17"/>
  <c r="O890" i="17"/>
  <c r="O891" i="17"/>
  <c r="O894" i="17"/>
  <c r="O897" i="17"/>
  <c r="O900" i="17"/>
  <c r="O903" i="17"/>
  <c r="O904" i="17"/>
  <c r="O906" i="17"/>
  <c r="O909" i="17"/>
  <c r="O912" i="17"/>
  <c r="O915" i="17"/>
  <c r="O918" i="17"/>
  <c r="O921" i="17"/>
  <c r="O924" i="17"/>
  <c r="O927" i="17"/>
  <c r="O929" i="17"/>
  <c r="O930" i="17"/>
  <c r="O933" i="17"/>
  <c r="O936" i="17"/>
  <c r="O939" i="17"/>
  <c r="O942" i="17"/>
  <c r="O945" i="17"/>
  <c r="O948" i="17"/>
  <c r="O951" i="17"/>
  <c r="O954" i="17"/>
  <c r="O957" i="17"/>
  <c r="O960" i="17"/>
  <c r="O962" i="17"/>
  <c r="O963" i="17"/>
  <c r="O966" i="17"/>
  <c r="O969" i="17"/>
  <c r="O972" i="17"/>
  <c r="O975" i="17"/>
  <c r="O977" i="17"/>
  <c r="O978" i="17"/>
  <c r="O981" i="17"/>
  <c r="O984" i="17"/>
  <c r="O987" i="17"/>
  <c r="O990" i="17"/>
  <c r="O993" i="17"/>
  <c r="O999" i="17"/>
  <c r="O1001" i="17"/>
  <c r="O2" i="17"/>
  <c r="N3" i="17"/>
  <c r="N4" i="17"/>
  <c r="N6" i="17"/>
  <c r="N7" i="17"/>
  <c r="N9" i="17"/>
  <c r="N10" i="17"/>
  <c r="N11" i="17"/>
  <c r="N12" i="17"/>
  <c r="N13" i="17"/>
  <c r="N14" i="17"/>
  <c r="N15" i="17"/>
  <c r="N16" i="17"/>
  <c r="N18" i="17"/>
  <c r="N19" i="17"/>
  <c r="N21" i="17"/>
  <c r="N22" i="17"/>
  <c r="N23" i="17"/>
  <c r="N24" i="17"/>
  <c r="N25" i="17"/>
  <c r="N26" i="17"/>
  <c r="N27" i="17"/>
  <c r="N28" i="17"/>
  <c r="N30" i="17"/>
  <c r="N31" i="17"/>
  <c r="N33" i="17"/>
  <c r="N34" i="17"/>
  <c r="N35" i="17"/>
  <c r="N36" i="17"/>
  <c r="N37" i="17"/>
  <c r="N38" i="17"/>
  <c r="N39" i="17"/>
  <c r="N40" i="17"/>
  <c r="N41" i="17"/>
  <c r="N42" i="17"/>
  <c r="N43" i="17"/>
  <c r="N45" i="17"/>
  <c r="N46" i="17"/>
  <c r="N48" i="17"/>
  <c r="N49" i="17"/>
  <c r="N50" i="17"/>
  <c r="N51" i="17"/>
  <c r="N52" i="17"/>
  <c r="N53" i="17"/>
  <c r="N54" i="17"/>
  <c r="N55" i="17"/>
  <c r="N57" i="17"/>
  <c r="N58" i="17"/>
  <c r="N60" i="17"/>
  <c r="N61" i="17"/>
  <c r="N62" i="17"/>
  <c r="N63" i="17"/>
  <c r="N64" i="17"/>
  <c r="N65" i="17"/>
  <c r="N66" i="17"/>
  <c r="N67" i="17"/>
  <c r="N69" i="17"/>
  <c r="N70" i="17"/>
  <c r="N72" i="17"/>
  <c r="N73" i="17"/>
  <c r="N75" i="17"/>
  <c r="N76" i="17"/>
  <c r="N77" i="17"/>
  <c r="N78" i="17"/>
  <c r="N79" i="17"/>
  <c r="N81" i="17"/>
  <c r="N82" i="17"/>
  <c r="N84" i="17"/>
  <c r="N85" i="17"/>
  <c r="N87" i="17"/>
  <c r="N88" i="17"/>
  <c r="N89" i="17"/>
  <c r="N90" i="17"/>
  <c r="N91" i="17"/>
  <c r="N93" i="17"/>
  <c r="N94" i="17"/>
  <c r="N95" i="17"/>
  <c r="N96" i="17"/>
  <c r="N97" i="17"/>
  <c r="N99" i="17"/>
  <c r="N100" i="17"/>
  <c r="N102" i="17"/>
  <c r="N103" i="17"/>
  <c r="N105" i="17"/>
  <c r="N106" i="17"/>
  <c r="N107" i="17"/>
  <c r="N108" i="17"/>
  <c r="N109" i="17"/>
  <c r="N111" i="17"/>
  <c r="N112" i="17"/>
  <c r="N114" i="17"/>
  <c r="N115" i="17"/>
  <c r="N117" i="17"/>
  <c r="N118" i="17"/>
  <c r="N119" i="17"/>
  <c r="N120" i="17"/>
  <c r="N121" i="17"/>
  <c r="N122" i="17"/>
  <c r="N123" i="17"/>
  <c r="N124" i="17"/>
  <c r="N126" i="17"/>
  <c r="N127" i="17"/>
  <c r="N129" i="17"/>
  <c r="N130" i="17"/>
  <c r="N131" i="17"/>
  <c r="N132" i="17"/>
  <c r="N133" i="17"/>
  <c r="N134" i="17"/>
  <c r="N135" i="17"/>
  <c r="N136" i="17"/>
  <c r="N138" i="17"/>
  <c r="N139" i="17"/>
  <c r="N141" i="17"/>
  <c r="N142" i="17"/>
  <c r="N143" i="17"/>
  <c r="N144" i="17"/>
  <c r="N145" i="17"/>
  <c r="N146" i="17"/>
  <c r="N147" i="17"/>
  <c r="N148" i="17"/>
  <c r="N149" i="17"/>
  <c r="N150" i="17"/>
  <c r="N151" i="17"/>
  <c r="N153" i="17"/>
  <c r="N154" i="17"/>
  <c r="N156" i="17"/>
  <c r="N157" i="17"/>
  <c r="N158" i="17"/>
  <c r="N159" i="17"/>
  <c r="N160" i="17"/>
  <c r="N161" i="17"/>
  <c r="N162" i="17"/>
  <c r="N163" i="17"/>
  <c r="N165" i="17"/>
  <c r="N166" i="17"/>
  <c r="N168" i="17"/>
  <c r="N169" i="17"/>
  <c r="N170" i="17"/>
  <c r="N171" i="17"/>
  <c r="N172" i="17"/>
  <c r="N173" i="17"/>
  <c r="N174" i="17"/>
  <c r="N175" i="17"/>
  <c r="N177" i="17"/>
  <c r="N178" i="17"/>
  <c r="N180" i="17"/>
  <c r="N181" i="17"/>
  <c r="N183" i="17"/>
  <c r="N184" i="17"/>
  <c r="N185" i="17"/>
  <c r="N186" i="17"/>
  <c r="N187" i="17"/>
  <c r="N189" i="17"/>
  <c r="N190" i="17"/>
  <c r="N192" i="17"/>
  <c r="N193" i="17"/>
  <c r="N195" i="17"/>
  <c r="N196" i="17"/>
  <c r="N197" i="17"/>
  <c r="N198" i="17"/>
  <c r="N199" i="17"/>
  <c r="N201" i="17"/>
  <c r="N202" i="17"/>
  <c r="N204" i="17"/>
  <c r="N205" i="17"/>
  <c r="N207" i="17"/>
  <c r="N208" i="17"/>
  <c r="N210" i="17"/>
  <c r="N211" i="17"/>
  <c r="N213" i="17"/>
  <c r="N214" i="17"/>
  <c r="N215" i="17"/>
  <c r="N216" i="17"/>
  <c r="N217" i="17"/>
  <c r="N219" i="17"/>
  <c r="N220" i="17"/>
  <c r="N222" i="17"/>
  <c r="N223" i="17"/>
  <c r="N225" i="17"/>
  <c r="N226" i="17"/>
  <c r="N227" i="17"/>
  <c r="N228" i="17"/>
  <c r="N229" i="17"/>
  <c r="N231" i="17"/>
  <c r="N232" i="17"/>
  <c r="N234" i="17"/>
  <c r="N235" i="17"/>
  <c r="N237" i="17"/>
  <c r="N238" i="17"/>
  <c r="N239" i="17"/>
  <c r="N240" i="17"/>
  <c r="N241" i="17"/>
  <c r="N243" i="17"/>
  <c r="N244" i="17"/>
  <c r="N246" i="17"/>
  <c r="N247" i="17"/>
  <c r="N249" i="17"/>
  <c r="N250" i="17"/>
  <c r="N251" i="17"/>
  <c r="N252" i="17"/>
  <c r="N253" i="17"/>
  <c r="N254" i="17"/>
  <c r="N255" i="17"/>
  <c r="N256" i="17"/>
  <c r="N258" i="17"/>
  <c r="N259" i="17"/>
  <c r="N261" i="17"/>
  <c r="N262" i="17"/>
  <c r="N264" i="17"/>
  <c r="N265" i="17"/>
  <c r="N266" i="17"/>
  <c r="N267" i="17"/>
  <c r="N268" i="17"/>
  <c r="N269" i="17"/>
  <c r="N270" i="17"/>
  <c r="N271" i="17"/>
  <c r="N273" i="17"/>
  <c r="N274" i="17"/>
  <c r="N276" i="17"/>
  <c r="N277" i="17"/>
  <c r="N278" i="17"/>
  <c r="N279" i="17"/>
  <c r="N280" i="17"/>
  <c r="N282" i="17"/>
  <c r="N283" i="17"/>
  <c r="N285" i="17"/>
  <c r="N286" i="17"/>
  <c r="N288" i="17"/>
  <c r="N289" i="17"/>
  <c r="N291" i="17"/>
  <c r="N292" i="17"/>
  <c r="N293" i="17"/>
  <c r="N294" i="17"/>
  <c r="N295" i="17"/>
  <c r="N297" i="17"/>
  <c r="N298" i="17"/>
  <c r="N300" i="17"/>
  <c r="N301" i="17"/>
  <c r="N303" i="17"/>
  <c r="N304" i="17"/>
  <c r="N305" i="17"/>
  <c r="N306" i="17"/>
  <c r="N307" i="17"/>
  <c r="N309" i="17"/>
  <c r="N310" i="17"/>
  <c r="N312" i="17"/>
  <c r="N313" i="17"/>
  <c r="N315" i="17"/>
  <c r="N316" i="17"/>
  <c r="N317" i="17"/>
  <c r="N318" i="17"/>
  <c r="N319" i="17"/>
  <c r="N321" i="17"/>
  <c r="N322" i="17"/>
  <c r="N323" i="17"/>
  <c r="N324" i="17"/>
  <c r="N325" i="17"/>
  <c r="N327" i="17"/>
  <c r="N328" i="17"/>
  <c r="N330" i="17"/>
  <c r="N331" i="17"/>
  <c r="N333" i="17"/>
  <c r="N334" i="17"/>
  <c r="N335" i="17"/>
  <c r="N336" i="17"/>
  <c r="N337" i="17"/>
  <c r="N339" i="17"/>
  <c r="N340" i="17"/>
  <c r="N342" i="17"/>
  <c r="N343" i="17"/>
  <c r="N345" i="17"/>
  <c r="N346" i="17"/>
  <c r="N348" i="17"/>
  <c r="N349" i="17"/>
  <c r="N350" i="17"/>
  <c r="N351" i="17"/>
  <c r="N352" i="17"/>
  <c r="N354" i="17"/>
  <c r="N355" i="17"/>
  <c r="N357" i="17"/>
  <c r="N358" i="17"/>
  <c r="N360" i="17"/>
  <c r="N361" i="17"/>
  <c r="N362" i="17"/>
  <c r="N363" i="17"/>
  <c r="N364" i="17"/>
  <c r="N366" i="17"/>
  <c r="N367" i="17"/>
  <c r="N369" i="17"/>
  <c r="N370" i="17"/>
  <c r="N371" i="17"/>
  <c r="N372" i="17"/>
  <c r="N373" i="17"/>
  <c r="N375" i="17"/>
  <c r="N376" i="17"/>
  <c r="N378" i="17"/>
  <c r="N379" i="17"/>
  <c r="N381" i="17"/>
  <c r="N382" i="17"/>
  <c r="N384" i="17"/>
  <c r="N385" i="17"/>
  <c r="N387" i="17"/>
  <c r="N388" i="17"/>
  <c r="N391" i="17"/>
  <c r="N393" i="17"/>
  <c r="N394" i="17"/>
  <c r="N396" i="17"/>
  <c r="N397" i="17"/>
  <c r="N398" i="17"/>
  <c r="N399" i="17"/>
  <c r="N400" i="17"/>
  <c r="N401" i="17"/>
  <c r="N403" i="17"/>
  <c r="N406" i="17"/>
  <c r="N408" i="17"/>
  <c r="N409" i="17"/>
  <c r="N411" i="17"/>
  <c r="N412" i="17"/>
  <c r="N413" i="17"/>
  <c r="N414" i="17"/>
  <c r="N415" i="17"/>
  <c r="N417" i="17"/>
  <c r="N418" i="17"/>
  <c r="N421" i="17"/>
  <c r="N424" i="17"/>
  <c r="N426" i="17"/>
  <c r="N427" i="17"/>
  <c r="N429" i="17"/>
  <c r="N430" i="17"/>
  <c r="N431" i="17"/>
  <c r="N433" i="17"/>
  <c r="N436" i="17"/>
  <c r="N439" i="17"/>
  <c r="N441" i="17"/>
  <c r="N442" i="17"/>
  <c r="N443" i="17"/>
  <c r="N444" i="17"/>
  <c r="N445" i="17"/>
  <c r="N447" i="17"/>
  <c r="N448" i="17"/>
  <c r="N450" i="17"/>
  <c r="N451" i="17"/>
  <c r="N454" i="17"/>
  <c r="N456" i="17"/>
  <c r="N457" i="17"/>
  <c r="N460" i="17"/>
  <c r="N462" i="17"/>
  <c r="N463" i="17"/>
  <c r="N466" i="17"/>
  <c r="N469" i="17"/>
  <c r="N472" i="17"/>
  <c r="N474" i="17"/>
  <c r="N475" i="17"/>
  <c r="N478" i="17"/>
  <c r="N480" i="17"/>
  <c r="N481" i="17"/>
  <c r="N484" i="17"/>
  <c r="N487" i="17"/>
  <c r="N490" i="17"/>
  <c r="N492" i="17"/>
  <c r="N493" i="17"/>
  <c r="N496" i="17"/>
  <c r="N498" i="17"/>
  <c r="N499" i="17"/>
  <c r="N502" i="17"/>
  <c r="N505" i="17"/>
  <c r="N508" i="17"/>
  <c r="N510" i="17"/>
  <c r="N511" i="17"/>
  <c r="N514" i="17"/>
  <c r="N516" i="17"/>
  <c r="N517" i="17"/>
  <c r="N520" i="17"/>
  <c r="N523" i="17"/>
  <c r="N526" i="17"/>
  <c r="N528" i="17"/>
  <c r="N529" i="17"/>
  <c r="N532" i="17"/>
  <c r="N534" i="17"/>
  <c r="N535" i="17"/>
  <c r="N538" i="17"/>
  <c r="N541" i="17"/>
  <c r="N544" i="17"/>
  <c r="N546" i="17"/>
  <c r="N547" i="17"/>
  <c r="N550" i="17"/>
  <c r="N552" i="17"/>
  <c r="N553" i="17"/>
  <c r="N556" i="17"/>
  <c r="N559" i="17"/>
  <c r="N562" i="17"/>
  <c r="N564" i="17"/>
  <c r="N565" i="17"/>
  <c r="N568" i="17"/>
  <c r="N570" i="17"/>
  <c r="N571" i="17"/>
  <c r="N574" i="17"/>
  <c r="N577" i="17"/>
  <c r="N580" i="17"/>
  <c r="N582" i="17"/>
  <c r="N583" i="17"/>
  <c r="N586" i="17"/>
  <c r="N588" i="17"/>
  <c r="N589" i="17"/>
  <c r="N592" i="17"/>
  <c r="N595" i="17"/>
  <c r="N598" i="17"/>
  <c r="N600" i="17"/>
  <c r="N601" i="17"/>
  <c r="N604" i="17"/>
  <c r="N606" i="17"/>
  <c r="N607" i="17"/>
  <c r="N610" i="17"/>
  <c r="N613" i="17"/>
  <c r="N616" i="17"/>
  <c r="N618" i="17"/>
  <c r="N619" i="17"/>
  <c r="N622" i="17"/>
  <c r="N624" i="17"/>
  <c r="N625" i="17"/>
  <c r="N628" i="17"/>
  <c r="N631" i="17"/>
  <c r="N634" i="17"/>
  <c r="N636" i="17"/>
  <c r="N637" i="17"/>
  <c r="N639" i="17"/>
  <c r="N640" i="17"/>
  <c r="N643" i="17"/>
  <c r="N645" i="17"/>
  <c r="N649" i="17"/>
  <c r="N652" i="17"/>
  <c r="N654" i="17"/>
  <c r="N655" i="17"/>
  <c r="N657" i="17"/>
  <c r="N658" i="17"/>
  <c r="N661" i="17"/>
  <c r="N663" i="17"/>
  <c r="N667" i="17"/>
  <c r="N670" i="17"/>
  <c r="N672" i="17"/>
  <c r="N673" i="17"/>
  <c r="N675" i="17"/>
  <c r="N676" i="17"/>
  <c r="N679" i="17"/>
  <c r="N681" i="17"/>
  <c r="N685" i="17"/>
  <c r="N688" i="17"/>
  <c r="N690" i="17"/>
  <c r="N691" i="17"/>
  <c r="N693" i="17"/>
  <c r="N694" i="17"/>
  <c r="N697" i="17"/>
  <c r="N699" i="17"/>
  <c r="N703" i="17"/>
  <c r="N706" i="17"/>
  <c r="N708" i="17"/>
  <c r="N709" i="17"/>
  <c r="N711" i="17"/>
  <c r="N712" i="17"/>
  <c r="N715" i="17"/>
  <c r="N717" i="17"/>
  <c r="N724" i="17"/>
  <c r="N726" i="17"/>
  <c r="N727" i="17"/>
  <c r="N729" i="17"/>
  <c r="N730" i="17"/>
  <c r="N733" i="17"/>
  <c r="N735" i="17"/>
  <c r="N742" i="17"/>
  <c r="N744" i="17"/>
  <c r="N745" i="17"/>
  <c r="N747" i="17"/>
  <c r="N748" i="17"/>
  <c r="N751" i="17"/>
  <c r="N753" i="17"/>
  <c r="N760" i="17"/>
  <c r="N762" i="17"/>
  <c r="N763" i="17"/>
  <c r="N765" i="17"/>
  <c r="N766" i="17"/>
  <c r="N769" i="17"/>
  <c r="N771" i="17"/>
  <c r="N778" i="17"/>
  <c r="N780" i="17"/>
  <c r="N781" i="17"/>
  <c r="N783" i="17"/>
  <c r="N784" i="17"/>
  <c r="N787" i="17"/>
  <c r="N793" i="17"/>
  <c r="N795" i="17"/>
  <c r="N796" i="17"/>
  <c r="N799" i="17"/>
  <c r="N801" i="17"/>
  <c r="N802" i="17"/>
  <c r="N805" i="17"/>
  <c r="N811" i="17"/>
  <c r="N813" i="17"/>
  <c r="N814" i="17"/>
  <c r="N817" i="17"/>
  <c r="N819" i="17"/>
  <c r="N820" i="17"/>
  <c r="N823" i="17"/>
  <c r="N829" i="17"/>
  <c r="N831" i="17"/>
  <c r="N832" i="17"/>
  <c r="N835" i="17"/>
  <c r="N837" i="17"/>
  <c r="N838" i="17"/>
  <c r="N841" i="17"/>
  <c r="N847" i="17"/>
  <c r="N849" i="17"/>
  <c r="N850" i="17"/>
  <c r="N853" i="17"/>
  <c r="N855" i="17"/>
  <c r="N856" i="17"/>
  <c r="N859" i="17"/>
  <c r="N865" i="17"/>
  <c r="N867" i="17"/>
  <c r="N868" i="17"/>
  <c r="N871" i="17"/>
  <c r="N873" i="17"/>
  <c r="N874" i="17"/>
  <c r="N877" i="17"/>
  <c r="N883" i="17"/>
  <c r="N885" i="17"/>
  <c r="N886" i="17"/>
  <c r="N889" i="17"/>
  <c r="N891" i="17"/>
  <c r="N892" i="17"/>
  <c r="N895" i="17"/>
  <c r="N901" i="17"/>
  <c r="N903" i="17"/>
  <c r="N904" i="17"/>
  <c r="N907" i="17"/>
  <c r="N909" i="17"/>
  <c r="N910" i="17"/>
  <c r="N913" i="17"/>
  <c r="N919" i="17"/>
  <c r="N921" i="17"/>
  <c r="N922" i="17"/>
  <c r="N925" i="17"/>
  <c r="N927" i="17"/>
  <c r="N928" i="17"/>
  <c r="N931" i="17"/>
  <c r="N937" i="17"/>
  <c r="N939" i="17"/>
  <c r="N940" i="17"/>
  <c r="N942" i="17"/>
  <c r="N943" i="17"/>
  <c r="N946" i="17"/>
  <c r="N948" i="17"/>
  <c r="N955" i="17"/>
  <c r="N958" i="17"/>
  <c r="N960" i="17"/>
  <c r="N961" i="17"/>
  <c r="N964" i="17"/>
  <c r="N970" i="17"/>
  <c r="N973" i="17"/>
  <c r="N976" i="17"/>
  <c r="N978" i="17"/>
  <c r="N979" i="17"/>
  <c r="N982" i="17"/>
  <c r="N988" i="17"/>
  <c r="N991" i="17"/>
  <c r="N994" i="17"/>
  <c r="N996" i="17"/>
  <c r="N997" i="17"/>
  <c r="N1000" i="17"/>
  <c r="M3" i="17"/>
  <c r="M4" i="17"/>
  <c r="M5" i="17"/>
  <c r="M6" i="17"/>
  <c r="M8" i="17"/>
  <c r="M9" i="17"/>
  <c r="M11" i="17"/>
  <c r="M12" i="17"/>
  <c r="M14" i="17"/>
  <c r="M15" i="17"/>
  <c r="M17" i="17"/>
  <c r="M18" i="17"/>
  <c r="M20" i="17"/>
  <c r="M21" i="17"/>
  <c r="M23" i="17"/>
  <c r="M24" i="17"/>
  <c r="M26" i="17"/>
  <c r="M27" i="17"/>
  <c r="M29" i="17"/>
  <c r="M30" i="17"/>
  <c r="M31" i="17"/>
  <c r="M32" i="17"/>
  <c r="M33" i="17"/>
  <c r="M35" i="17"/>
  <c r="M36" i="17"/>
  <c r="M38" i="17"/>
  <c r="M39" i="17"/>
  <c r="M41" i="17"/>
  <c r="M42" i="17"/>
  <c r="M44" i="17"/>
  <c r="M45" i="17"/>
  <c r="M47" i="17"/>
  <c r="M48" i="17"/>
  <c r="M50" i="17"/>
  <c r="M51" i="17"/>
  <c r="M53" i="17"/>
  <c r="M54" i="17"/>
  <c r="M56" i="17"/>
  <c r="M57" i="17"/>
  <c r="M59" i="17"/>
  <c r="M60" i="17"/>
  <c r="M62" i="17"/>
  <c r="M63" i="17"/>
  <c r="M65" i="17"/>
  <c r="M66" i="17"/>
  <c r="M68" i="17"/>
  <c r="M69" i="17"/>
  <c r="M71" i="17"/>
  <c r="M72" i="17"/>
  <c r="M74" i="17"/>
  <c r="M75" i="17"/>
  <c r="M77" i="17"/>
  <c r="M78" i="17"/>
  <c r="M80" i="17"/>
  <c r="M81" i="17"/>
  <c r="M83" i="17"/>
  <c r="M84" i="17"/>
  <c r="M85" i="17"/>
  <c r="M86" i="17"/>
  <c r="M87" i="17"/>
  <c r="M89" i="17"/>
  <c r="M90" i="17"/>
  <c r="M92" i="17"/>
  <c r="M93" i="17"/>
  <c r="M95" i="17"/>
  <c r="M96" i="17"/>
  <c r="M97" i="17"/>
  <c r="M98" i="17"/>
  <c r="M99" i="17"/>
  <c r="M100" i="17"/>
  <c r="M101" i="17"/>
  <c r="M102" i="17"/>
  <c r="M104" i="17"/>
  <c r="M105" i="17"/>
  <c r="M107" i="17"/>
  <c r="M108" i="17"/>
  <c r="M110" i="17"/>
  <c r="M111" i="17"/>
  <c r="M113" i="17"/>
  <c r="M114" i="17"/>
  <c r="M116" i="17"/>
  <c r="M117" i="17"/>
  <c r="M119" i="17"/>
  <c r="M120" i="17"/>
  <c r="M122" i="17"/>
  <c r="M123" i="17"/>
  <c r="M125" i="17"/>
  <c r="M126" i="17"/>
  <c r="M128" i="17"/>
  <c r="M129" i="17"/>
  <c r="M131" i="17"/>
  <c r="M132" i="17"/>
  <c r="M134" i="17"/>
  <c r="M135" i="17"/>
  <c r="M137" i="17"/>
  <c r="M138" i="17"/>
  <c r="M140" i="17"/>
  <c r="M141" i="17"/>
  <c r="M143" i="17"/>
  <c r="M144" i="17"/>
  <c r="M146" i="17"/>
  <c r="M147" i="17"/>
  <c r="M149" i="17"/>
  <c r="M150" i="17"/>
  <c r="M152" i="17"/>
  <c r="M153" i="17"/>
  <c r="M155" i="17"/>
  <c r="M156" i="17"/>
  <c r="M158" i="17"/>
  <c r="M159" i="17"/>
  <c r="M161" i="17"/>
  <c r="M162" i="17"/>
  <c r="M164" i="17"/>
  <c r="M165" i="17"/>
  <c r="M167" i="17"/>
  <c r="M168" i="17"/>
  <c r="M170" i="17"/>
  <c r="M171" i="17"/>
  <c r="M173" i="17"/>
  <c r="M174" i="17"/>
  <c r="M176" i="17"/>
  <c r="M177" i="17"/>
  <c r="M179" i="17"/>
  <c r="M180" i="17"/>
  <c r="M182" i="17"/>
  <c r="M183" i="17"/>
  <c r="M185" i="17"/>
  <c r="M186" i="17"/>
  <c r="M187" i="17"/>
  <c r="M188" i="17"/>
  <c r="M189" i="17"/>
  <c r="M191" i="17"/>
  <c r="M192" i="17"/>
  <c r="M194" i="17"/>
  <c r="M195" i="17"/>
  <c r="M197" i="17"/>
  <c r="M198" i="17"/>
  <c r="M200" i="17"/>
  <c r="M201" i="17"/>
  <c r="M203" i="17"/>
  <c r="M204" i="17"/>
  <c r="M206" i="17"/>
  <c r="M207" i="17"/>
  <c r="M209" i="17"/>
  <c r="M210" i="17"/>
  <c r="M212" i="17"/>
  <c r="M213" i="17"/>
  <c r="M214" i="17"/>
  <c r="M215" i="17"/>
  <c r="M216" i="17"/>
  <c r="M218" i="17"/>
  <c r="M219" i="17"/>
  <c r="M221" i="17"/>
  <c r="M222" i="17"/>
  <c r="M224" i="17"/>
  <c r="M225" i="17"/>
  <c r="M227" i="17"/>
  <c r="M228" i="17"/>
  <c r="M230" i="17"/>
  <c r="M231" i="17"/>
  <c r="M233" i="17"/>
  <c r="M234" i="17"/>
  <c r="M236" i="17"/>
  <c r="M237" i="17"/>
  <c r="M239" i="17"/>
  <c r="M240" i="17"/>
  <c r="M242" i="17"/>
  <c r="M243" i="17"/>
  <c r="M245" i="17"/>
  <c r="M246" i="17"/>
  <c r="M248" i="17"/>
  <c r="M249" i="17"/>
  <c r="M251" i="17"/>
  <c r="M252" i="17"/>
  <c r="M254" i="17"/>
  <c r="M255" i="17"/>
  <c r="M257" i="17"/>
  <c r="M258" i="17"/>
  <c r="M259" i="17"/>
  <c r="M260" i="17"/>
  <c r="M261" i="17"/>
  <c r="M263" i="17"/>
  <c r="M264" i="17"/>
  <c r="M266" i="17"/>
  <c r="M267" i="17"/>
  <c r="M269" i="17"/>
  <c r="M270" i="17"/>
  <c r="M272" i="17"/>
  <c r="M273" i="17"/>
  <c r="M275" i="17"/>
  <c r="M276" i="17"/>
  <c r="M278" i="17"/>
  <c r="M279" i="17"/>
  <c r="M281" i="17"/>
  <c r="M282" i="17"/>
  <c r="M284" i="17"/>
  <c r="M285" i="17"/>
  <c r="M286" i="17"/>
  <c r="M287" i="17"/>
  <c r="M288" i="17"/>
  <c r="M290" i="17"/>
  <c r="M291" i="17"/>
  <c r="M293" i="17"/>
  <c r="M294" i="17"/>
  <c r="M296" i="17"/>
  <c r="M297" i="17"/>
  <c r="M299" i="17"/>
  <c r="M300" i="17"/>
  <c r="M302" i="17"/>
  <c r="M303" i="17"/>
  <c r="M305" i="17"/>
  <c r="M306" i="17"/>
  <c r="M308" i="17"/>
  <c r="M309" i="17"/>
  <c r="M311" i="17"/>
  <c r="M312" i="17"/>
  <c r="M314" i="17"/>
  <c r="M315" i="17"/>
  <c r="M317" i="17"/>
  <c r="M318" i="17"/>
  <c r="M320" i="17"/>
  <c r="M321" i="17"/>
  <c r="M323" i="17"/>
  <c r="M324" i="17"/>
  <c r="M326" i="17"/>
  <c r="M327" i="17"/>
  <c r="M329" i="17"/>
  <c r="M330" i="17"/>
  <c r="M331" i="17"/>
  <c r="M332" i="17"/>
  <c r="M333" i="17"/>
  <c r="M335" i="17"/>
  <c r="M336" i="17"/>
  <c r="M338" i="17"/>
  <c r="M339" i="17"/>
  <c r="M341" i="17"/>
  <c r="M342" i="17"/>
  <c r="M344" i="17"/>
  <c r="M345" i="17"/>
  <c r="M347" i="17"/>
  <c r="M348" i="17"/>
  <c r="M350" i="17"/>
  <c r="M351" i="17"/>
  <c r="M353" i="17"/>
  <c r="M354" i="17"/>
  <c r="M356" i="17"/>
  <c r="M357" i="17"/>
  <c r="M358" i="17"/>
  <c r="M359" i="17"/>
  <c r="M360" i="17"/>
  <c r="M362" i="17"/>
  <c r="M363" i="17"/>
  <c r="M365" i="17"/>
  <c r="M366" i="17"/>
  <c r="M368" i="17"/>
  <c r="M369" i="17"/>
  <c r="M371" i="17"/>
  <c r="M372" i="17"/>
  <c r="M374" i="17"/>
  <c r="M375" i="17"/>
  <c r="M377" i="17"/>
  <c r="M378" i="17"/>
  <c r="M380" i="17"/>
  <c r="M381" i="17"/>
  <c r="M383" i="17"/>
  <c r="M384" i="17"/>
  <c r="M386" i="17"/>
  <c r="M387" i="17"/>
  <c r="M389" i="17"/>
  <c r="M390" i="17"/>
  <c r="M392" i="17"/>
  <c r="M393" i="17"/>
  <c r="M395" i="17"/>
  <c r="M396" i="17"/>
  <c r="M398" i="17"/>
  <c r="M399" i="17"/>
  <c r="M401" i="17"/>
  <c r="M402" i="17"/>
  <c r="M403" i="17"/>
  <c r="M404" i="17"/>
  <c r="M405" i="17"/>
  <c r="M407" i="17"/>
  <c r="M408" i="17"/>
  <c r="M410" i="17"/>
  <c r="M411" i="17"/>
  <c r="M413" i="17"/>
  <c r="M414" i="17"/>
  <c r="M416" i="17"/>
  <c r="M417" i="17"/>
  <c r="M419" i="17"/>
  <c r="M420" i="17"/>
  <c r="M422" i="17"/>
  <c r="M423" i="17"/>
  <c r="M425" i="17"/>
  <c r="M426" i="17"/>
  <c r="M428" i="17"/>
  <c r="M429" i="17"/>
  <c r="M430" i="17"/>
  <c r="M431" i="17"/>
  <c r="M432" i="17"/>
  <c r="M434" i="17"/>
  <c r="M435" i="17"/>
  <c r="M437" i="17"/>
  <c r="M438" i="17"/>
  <c r="M440" i="17"/>
  <c r="M441" i="17"/>
  <c r="M443" i="17"/>
  <c r="M444" i="17"/>
  <c r="M446" i="17"/>
  <c r="M447" i="17"/>
  <c r="M449" i="17"/>
  <c r="M450" i="17"/>
  <c r="M452" i="17"/>
  <c r="M453" i="17"/>
  <c r="M455" i="17"/>
  <c r="M456" i="17"/>
  <c r="M458" i="17"/>
  <c r="M459" i="17"/>
  <c r="M461" i="17"/>
  <c r="M462" i="17"/>
  <c r="M464" i="17"/>
  <c r="M465" i="17"/>
  <c r="M467" i="17"/>
  <c r="M468" i="17"/>
  <c r="M470" i="17"/>
  <c r="M471" i="17"/>
  <c r="M473" i="17"/>
  <c r="M474" i="17"/>
  <c r="M475" i="17"/>
  <c r="M476" i="17"/>
  <c r="M477" i="17"/>
  <c r="M479" i="17"/>
  <c r="M480" i="17"/>
  <c r="M482" i="17"/>
  <c r="M483" i="17"/>
  <c r="M485" i="17"/>
  <c r="M486" i="17"/>
  <c r="M488" i="17"/>
  <c r="M489" i="17"/>
  <c r="M491" i="17"/>
  <c r="M492" i="17"/>
  <c r="M494" i="17"/>
  <c r="M495" i="17"/>
  <c r="M497" i="17"/>
  <c r="M498" i="17"/>
  <c r="M500" i="17"/>
  <c r="M501" i="17"/>
  <c r="M502" i="17"/>
  <c r="M503" i="17"/>
  <c r="M504" i="17"/>
  <c r="M506" i="17"/>
  <c r="M507" i="17"/>
  <c r="M509" i="17"/>
  <c r="M510" i="17"/>
  <c r="M512" i="17"/>
  <c r="M513" i="17"/>
  <c r="M515" i="17"/>
  <c r="M516" i="17"/>
  <c r="M518" i="17"/>
  <c r="M519" i="17"/>
  <c r="M521" i="17"/>
  <c r="M522" i="17"/>
  <c r="M524" i="17"/>
  <c r="M525" i="17"/>
  <c r="M527" i="17"/>
  <c r="M528" i="17"/>
  <c r="M530" i="17"/>
  <c r="M531" i="17"/>
  <c r="M533" i="17"/>
  <c r="M534" i="17"/>
  <c r="M536" i="17"/>
  <c r="M537" i="17"/>
  <c r="M539" i="17"/>
  <c r="M540" i="17"/>
  <c r="M542" i="17"/>
  <c r="M543" i="17"/>
  <c r="M545" i="17"/>
  <c r="M546" i="17"/>
  <c r="M547" i="17"/>
  <c r="M548" i="17"/>
  <c r="M549" i="17"/>
  <c r="M551" i="17"/>
  <c r="M552" i="17"/>
  <c r="M554" i="17"/>
  <c r="M555" i="17"/>
  <c r="M557" i="17"/>
  <c r="M558" i="17"/>
  <c r="M560" i="17"/>
  <c r="M561" i="17"/>
  <c r="M563" i="17"/>
  <c r="M564" i="17"/>
  <c r="M566" i="17"/>
  <c r="M567" i="17"/>
  <c r="M569" i="17"/>
  <c r="M570" i="17"/>
  <c r="M572" i="17"/>
  <c r="M573" i="17"/>
  <c r="M574" i="17"/>
  <c r="M575" i="17"/>
  <c r="M576" i="17"/>
  <c r="M578" i="17"/>
  <c r="M579" i="17"/>
  <c r="M581" i="17"/>
  <c r="M582" i="17"/>
  <c r="M584" i="17"/>
  <c r="M585" i="17"/>
  <c r="M587" i="17"/>
  <c r="M588" i="17"/>
  <c r="M590" i="17"/>
  <c r="M591" i="17"/>
  <c r="M593" i="17"/>
  <c r="M594" i="17"/>
  <c r="M596" i="17"/>
  <c r="M597" i="17"/>
  <c r="M599" i="17"/>
  <c r="M600" i="17"/>
  <c r="M602" i="17"/>
  <c r="M603" i="17"/>
  <c r="M605" i="17"/>
  <c r="M606" i="17"/>
  <c r="M608" i="17"/>
  <c r="M609" i="17"/>
  <c r="M611" i="17"/>
  <c r="M612" i="17"/>
  <c r="M614" i="17"/>
  <c r="M615" i="17"/>
  <c r="M617" i="17"/>
  <c r="M618" i="17"/>
  <c r="M619" i="17"/>
  <c r="M620" i="17"/>
  <c r="M621" i="17"/>
  <c r="M623" i="17"/>
  <c r="M624" i="17"/>
  <c r="M626" i="17"/>
  <c r="M627" i="17"/>
  <c r="M629" i="17"/>
  <c r="M630" i="17"/>
  <c r="M632" i="17"/>
  <c r="M633" i="17"/>
  <c r="M635" i="17"/>
  <c r="M636" i="17"/>
  <c r="M638" i="17"/>
  <c r="M639" i="17"/>
  <c r="M641" i="17"/>
  <c r="M642" i="17"/>
  <c r="M644" i="17"/>
  <c r="M645" i="17"/>
  <c r="M646" i="17"/>
  <c r="M647" i="17"/>
  <c r="M648" i="17"/>
  <c r="M650" i="17"/>
  <c r="M651" i="17"/>
  <c r="M653" i="17"/>
  <c r="M654" i="17"/>
  <c r="M656" i="17"/>
  <c r="M657" i="17"/>
  <c r="M659" i="17"/>
  <c r="M660" i="17"/>
  <c r="M662" i="17"/>
  <c r="M663" i="17"/>
  <c r="M665" i="17"/>
  <c r="M666" i="17"/>
  <c r="M668" i="17"/>
  <c r="M669" i="17"/>
  <c r="M671" i="17"/>
  <c r="M672" i="17"/>
  <c r="M674" i="17"/>
  <c r="M675" i="17"/>
  <c r="M677" i="17"/>
  <c r="M678" i="17"/>
  <c r="M680" i="17"/>
  <c r="M681" i="17"/>
  <c r="M683" i="17"/>
  <c r="M684" i="17"/>
  <c r="M686" i="17"/>
  <c r="M687" i="17"/>
  <c r="M689" i="17"/>
  <c r="M690" i="17"/>
  <c r="M691" i="17"/>
  <c r="M692" i="17"/>
  <c r="M693" i="17"/>
  <c r="M696" i="17"/>
  <c r="M699" i="17"/>
  <c r="M702" i="17"/>
  <c r="M705" i="17"/>
  <c r="M707" i="17"/>
  <c r="M708" i="17"/>
  <c r="M711" i="17"/>
  <c r="M714" i="17"/>
  <c r="M716" i="17"/>
  <c r="M717" i="17"/>
  <c r="M720" i="17"/>
  <c r="M723" i="17"/>
  <c r="M726" i="17"/>
  <c r="M728" i="17"/>
  <c r="M729" i="17"/>
  <c r="M730" i="17"/>
  <c r="M732" i="17"/>
  <c r="M735" i="17"/>
  <c r="M738" i="17"/>
  <c r="M741" i="17"/>
  <c r="M744" i="17"/>
  <c r="M747" i="17"/>
  <c r="M750" i="17"/>
  <c r="M752" i="17"/>
  <c r="M753" i="17"/>
  <c r="M755" i="17"/>
  <c r="M756" i="17"/>
  <c r="M759" i="17"/>
  <c r="M762" i="17"/>
  <c r="M765" i="17"/>
  <c r="M767" i="17"/>
  <c r="M768" i="17"/>
  <c r="M771" i="17"/>
  <c r="M774" i="17"/>
  <c r="M777" i="17"/>
  <c r="M780" i="17"/>
  <c r="M783" i="17"/>
  <c r="M786" i="17"/>
  <c r="M789" i="17"/>
  <c r="M790" i="17"/>
  <c r="M791" i="17"/>
  <c r="M792" i="17"/>
  <c r="M795" i="17"/>
  <c r="M798" i="17"/>
  <c r="M801" i="17"/>
  <c r="M804" i="17"/>
  <c r="M807" i="17"/>
  <c r="M810" i="17"/>
  <c r="M812" i="17"/>
  <c r="M813" i="17"/>
  <c r="M816" i="17"/>
  <c r="M819" i="17"/>
  <c r="M822" i="17"/>
  <c r="M825" i="17"/>
  <c r="M828" i="17"/>
  <c r="M831" i="17"/>
  <c r="M834" i="17"/>
  <c r="M837" i="17"/>
  <c r="M840" i="17"/>
  <c r="M843" i="17"/>
  <c r="M846" i="17"/>
  <c r="M849" i="17"/>
  <c r="M851" i="17"/>
  <c r="M852" i="17"/>
  <c r="M855" i="17"/>
  <c r="M858" i="17"/>
  <c r="M860" i="17"/>
  <c r="M861" i="17"/>
  <c r="M864" i="17"/>
  <c r="M867" i="17"/>
  <c r="M870" i="17"/>
  <c r="M873" i="17"/>
  <c r="M876" i="17"/>
  <c r="M879" i="17"/>
  <c r="M882" i="17"/>
  <c r="M885" i="17"/>
  <c r="M888" i="17"/>
  <c r="M891" i="17"/>
  <c r="M894" i="17"/>
  <c r="M897" i="17"/>
  <c r="M900" i="17"/>
  <c r="M903" i="17"/>
  <c r="M906" i="17"/>
  <c r="M909" i="17"/>
  <c r="M910" i="17"/>
  <c r="M912" i="17"/>
  <c r="M915" i="17"/>
  <c r="M918" i="17"/>
  <c r="M921" i="17"/>
  <c r="M924" i="17"/>
  <c r="M927" i="17"/>
  <c r="M930" i="17"/>
  <c r="M933" i="17"/>
  <c r="M936" i="17"/>
  <c r="M939" i="17"/>
  <c r="M942" i="17"/>
  <c r="M945" i="17"/>
  <c r="M946" i="17"/>
  <c r="M948" i="17"/>
  <c r="M951" i="17"/>
  <c r="M954" i="17"/>
  <c r="M957" i="17"/>
  <c r="M960" i="17"/>
  <c r="M963" i="17"/>
  <c r="M966" i="17"/>
  <c r="M972" i="17"/>
  <c r="M975" i="17"/>
  <c r="M978" i="17"/>
  <c r="M981" i="17"/>
  <c r="M982" i="17"/>
  <c r="M984" i="17"/>
  <c r="M987" i="17"/>
  <c r="M990" i="17"/>
  <c r="M993" i="17"/>
  <c r="M996" i="17"/>
  <c r="M999"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<sst xmlns="http://schemas.openxmlformats.org/spreadsheetml/2006/main" count="11403" uniqueCount="6220">
  <si>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</si>
  <si>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</si>
  <si>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</si>
  <si>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</si>
  <si>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</si>
  <si>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</si>
  <si>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</si>
  <si>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</si>
  <si>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</si>
  <si>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</si>
  <si>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</si>
  <si>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</si>
  <si>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</si>
  <si>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</si>
  <si>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</si>
  <si>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</si>
  <si>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</si>
  <si>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</si>
  <si>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</si>
  <si>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</si>
  <si>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</si>
  <si>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</si>
  <si>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</si>
  <si>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</si>
  <si>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</si>
  <si>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</si>
  <si>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</si>
  <si>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</si>
  <si>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</si>
  <si>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</si>
  <si>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</si>
  <si>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</si>
  <si>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</si>
  <si>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</si>
  <si>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</si>
  <si>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</si>
  <si>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</si>
  <si>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</si>
  <si>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</si>
  <si>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</si>
  <si>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</si>
  <si>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</si>
  <si>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</si>
  <si>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</si>
  <si>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</si>
  <si>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</si>
  <si>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</si>
  <si>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</si>
  <si>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</si>
  <si>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</si>
  <si>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</si>
  <si>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</si>
  <si>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</si>
  <si>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</si>
  <si>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</si>
  <si>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</si>
  <si>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</si>
  <si>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</si>
  <si>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</si>
  <si>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</si>
  <si>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</si>
  <si>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</si>
  <si>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</si>
  <si>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</si>
  <si>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</si>
  <si>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</si>
  <si>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</si>
  <si>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</si>
  <si>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</si>
  <si>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</si>
  <si>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</si>
  <si>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</si>
  <si>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</si>
  <si>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</si>
  <si>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</si>
  <si>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</si>
  <si>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</si>
  <si>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</si>
  <si>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</si>
  <si>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</si>
  <si>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</si>
  <si>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</si>
  <si>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</si>
  <si>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</si>
  <si>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</si>
  <si>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</si>
  <si>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</si>
  <si>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</si>
  <si>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</si>
  <si>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</si>
  <si>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</si>
  <si>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</si>
  <si>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</si>
  <si>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</si>
  <si>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</si>
  <si>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</si>
  <si>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</si>
  <si>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</si>
  <si>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</si>
  <si>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</si>
  <si>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</si>
  <si>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</si>
  <si>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</si>
  <si>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</si>
  <si>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</si>
  <si>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</si>
  <si>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</si>
  <si>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</si>
  <si>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</si>
  <si>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</si>
  <si>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</si>
  <si>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</si>
  <si>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</si>
  <si>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</si>
  <si>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</si>
  <si>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</si>
  <si>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</si>
  <si>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</si>
  <si>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</si>
  <si>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</si>
  <si>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</si>
  <si>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</si>
  <si>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</si>
  <si>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</si>
  <si>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</si>
  <si>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</si>
  <si>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</si>
  <si>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</si>
  <si>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</si>
  <si>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</si>
  <si>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</si>
  <si>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</si>
  <si>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</si>
  <si>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</si>
  <si>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</si>
  <si>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</si>
  <si>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</si>
  <si>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</si>
  <si>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</si>
  <si>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</si>
  <si>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</si>
  <si>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</si>
  <si>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</si>
  <si>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</si>
  <si>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</si>
  <si>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</si>
  <si>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</si>
  <si>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</si>
  <si>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</si>
  <si>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</si>
  <si>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</si>
  <si>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</si>
  <si>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</si>
  <si>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</si>
  <si>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</si>
  <si>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</si>
  <si>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</si>
  <si>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</si>
  <si>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</si>
  <si>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</si>
  <si>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</si>
  <si>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</si>
  <si>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</si>
  <si>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</si>
  <si>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</si>
  <si>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</si>
  <si>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</si>
  <si>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</si>
  <si>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</si>
  <si>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</si>
  <si>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</si>
  <si>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</si>
  <si>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</si>
  <si>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</si>
  <si>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</si>
  <si>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</si>
  <si>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</si>
  <si>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</si>
  <si>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</si>
  <si>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</si>
  <si>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</si>
  <si>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</si>
  <si>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</si>
  <si>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</si>
  <si>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</si>
  <si>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</si>
  <si>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</si>
  <si>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</si>
  <si>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</si>
  <si>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</si>
  <si>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</si>
  <si>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</si>
  <si>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</si>
  <si>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</si>
  <si>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</si>
  <si>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</si>
  <si>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</si>
  <si>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</si>
  <si>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</si>
  <si>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</si>
  <si>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</si>
  <si>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</si>
  <si>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</si>
  <si>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</si>
  <si>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</si>
  <si>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</si>
  <si>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</si>
  <si>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</si>
  <si>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</si>
  <si>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</si>
  <si>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</si>
  <si>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</si>
  <si>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</si>
  <si>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</si>
  <si>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</si>
  <si>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</si>
  <si>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</si>
  <si>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</si>
  <si>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</si>
  <si>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</si>
  <si>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</si>
  <si>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</si>
  <si>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</si>
  <si>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</si>
  <si>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</si>
  <si>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</si>
  <si>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</si>
  <si>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</si>
  <si>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</si>
  <si>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</si>
  <si>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</si>
  <si>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</si>
  <si>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</si>
  <si>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</si>
  <si>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</si>
  <si>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</si>
  <si>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</si>
  <si>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</si>
  <si>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</si>
  <si>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</si>
  <si>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</si>
  <si>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</si>
  <si>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</si>
  <si>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</si>
  <si>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</si>
  <si>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</si>
  <si>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</si>
  <si>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</si>
  <si>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</si>
  <si>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</si>
  <si>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</si>
  <si>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</si>
  <si>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</si>
  <si>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</si>
  <si>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</si>
  <si>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</si>
  <si>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</si>
  <si>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</si>
  <si>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</si>
  <si>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</si>
  <si>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</si>
  <si>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</si>
  <si>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</si>
  <si>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</si>
  <si>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</si>
  <si>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</si>
  <si>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</si>
  <si>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</si>
  <si>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</si>
  <si>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</si>
  <si>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</si>
  <si>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</si>
  <si>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</si>
  <si>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</si>
  <si>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</si>
  <si>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</si>
  <si>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</si>
  <si>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</si>
  <si>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</si>
  <si>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</si>
  <si>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</si>
  <si>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</si>
  <si>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</si>
  <si>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</si>
  <si>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</si>
  <si>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</si>
  <si>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</si>
  <si>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</si>
  <si>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</si>
  <si>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</si>
  <si>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</si>
  <si>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</si>
  <si>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</si>
  <si>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</si>
  <si>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</si>
  <si>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</si>
  <si>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</si>
  <si>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</si>
  <si>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</si>
  <si>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</si>
  <si>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</si>
  <si>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</si>
  <si>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</si>
  <si>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</si>
  <si>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</si>
  <si>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</si>
  <si>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</si>
  <si>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</si>
  <si>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</si>
  <si>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</si>
  <si>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</si>
  <si>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</si>
  <si>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</si>
  <si>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</si>
  <si>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</si>
  <si>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</si>
  <si>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</si>
  <si>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</si>
  <si>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</si>
  <si>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</si>
  <si>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</si>
  <si>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</si>
  <si>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</si>
  <si>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</si>
  <si>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</si>
  <si>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</si>
  <si>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</si>
  <si>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</si>
  <si>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</si>
  <si>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</si>
  <si>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</si>
  <si>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</si>
  <si>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</si>
  <si>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</si>
  <si>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</si>
  <si>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</si>
  <si>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</si>
  <si>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</si>
  <si>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</si>
  <si>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</si>
  <si>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</si>
  <si>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</si>
  <si>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</si>
  <si>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</si>
  <si>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</si>
  <si>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</si>
  <si>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</si>
  <si>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</si>
  <si>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</si>
  <si>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</si>
  <si>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</si>
  <si>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</si>
  <si>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</si>
  <si>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</si>
  <si>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</si>
  <si>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</si>
  <si>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</si>
  <si>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</si>
  <si>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</si>
  <si>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</si>
  <si>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</si>
  <si>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</si>
  <si>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</si>
  <si>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</si>
  <si>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</si>
  <si>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</si>
  <si>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</si>
  <si>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</si>
  <si>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</si>
  <si>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</si>
  <si>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</si>
  <si>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</si>
  <si>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</si>
  <si>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</si>
  <si>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</si>
  <si>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</si>
  <si>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</si>
  <si>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</si>
  <si>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</si>
  <si>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</si>
  <si>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</si>
  <si>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</si>
  <si>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</si>
  <si>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</si>
  <si>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</si>
  <si>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</si>
  <si>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</si>
  <si>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</si>
  <si>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</si>
  <si>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</si>
  <si>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</si>
  <si>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</si>
  <si>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</si>
  <si>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</si>
  <si>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</si>
  <si>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</si>
  <si>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</si>
  <si>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</si>
  <si>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</si>
  <si>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</si>
  <si>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</si>
  <si>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</si>
  <si>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</si>
  <si>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</si>
  <si>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</si>
  <si>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</si>
  <si>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</si>
  <si>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</si>
  <si>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</si>
  <si>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</si>
  <si>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</si>
  <si>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</si>
  <si>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</si>
  <si>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</si>
  <si>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</si>
  <si>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</si>
  <si>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</si>
  <si>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</si>
  <si>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</si>
  <si>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</si>
  <si>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</si>
  <si>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</si>
  <si>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</si>
  <si>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</si>
  <si>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</si>
  <si>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</si>
  <si>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</si>
  <si>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</si>
  <si>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</si>
  <si>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</si>
  <si>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</si>
  <si>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</si>
  <si>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</si>
  <si>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</si>
  <si>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</si>
  <si>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</si>
  <si>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</si>
  <si>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</si>
  <si>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</si>
  <si>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</si>
  <si>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</si>
  <si>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</si>
  <si>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</si>
  <si>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</si>
  <si>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</si>
  <si>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</si>
  <si>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</si>
  <si>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</si>
  <si>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</si>
  <si>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</si>
  <si>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</si>
  <si>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</si>
  <si>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</si>
  <si>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</si>
  <si>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</si>
  <si>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</si>
  <si>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</si>
  <si>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</si>
  <si>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</si>
  <si>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</si>
  <si>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</si>
  <si>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</si>
  <si>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</si>
  <si>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</si>
  <si>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</si>
  <si>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</si>
  <si>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</si>
  <si>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</si>
  <si>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</si>
  <si>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</si>
  <si>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</si>
  <si>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</si>
  <si>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</si>
  <si>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</si>
  <si>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</si>
  <si>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</si>
  <si>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</si>
  <si>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</si>
  <si>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</si>
  <si>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</si>
  <si>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</si>
  <si>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</si>
  <si>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</si>
  <si>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</si>
  <si>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</si>
  <si>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</si>
  <si>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</si>
  <si>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</si>
  <si>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</si>
  <si>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</si>
  <si>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</si>
  <si>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</si>
  <si>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</si>
  <si>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</si>
  <si>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</si>
  <si>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</si>
  <si>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</si>
  <si>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</si>
  <si>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</si>
  <si>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</si>
  <si>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</si>
  <si>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</si>
  <si>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</si>
  <si>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</si>
  <si>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</si>
  <si>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</si>
  <si>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</si>
  <si>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</si>
  <si>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</si>
  <si>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</si>
  <si>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</si>
  <si>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</si>
  <si>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</si>
  <si>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</si>
  <si>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</si>
  <si>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</si>
  <si>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</si>
  <si>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</si>
  <si>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</si>
  <si>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</si>
  <si>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</si>
  <si>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</si>
  <si>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</si>
  <si>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</si>
  <si>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</si>
  <si>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</si>
  <si>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</si>
  <si>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</si>
  <si>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</si>
  <si>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</si>
  <si>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</si>
  <si>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</si>
  <si>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</si>
  <si>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</si>
  <si>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</si>
  <si>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</si>
  <si>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</si>
  <si>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</si>
  <si>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</si>
  <si>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</si>
  <si>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</si>
  <si>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</si>
  <si>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</si>
  <si>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</si>
  <si>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</si>
  <si>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</si>
  <si>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</si>
  <si>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</si>
  <si>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</si>
  <si>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</si>
  <si>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</si>
  <si>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</si>
  <si>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</si>
  <si>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</si>
  <si>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</si>
  <si>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</si>
  <si>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</si>
  <si>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</si>
  <si>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</si>
  <si>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</si>
  <si>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</si>
  <si>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</si>
  <si>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</si>
  <si>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</si>
  <si>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</si>
  <si>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</si>
  <si>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</si>
  <si>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</si>
  <si>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</si>
  <si>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</si>
  <si>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</si>
  <si>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</si>
  <si>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</si>
  <si>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</si>
  <si>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</si>
  <si>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</si>
  <si>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</si>
  <si>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</si>
  <si>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</si>
  <si>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</si>
  <si>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</si>
  <si>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</si>
  <si>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</si>
  <si>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</si>
  <si>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</si>
  <si>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</si>
  <si>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</si>
  <si>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</si>
  <si>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</si>
  <si>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</si>
  <si>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</si>
  <si>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</si>
  <si>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</si>
  <si>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</si>
  <si>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</si>
  <si>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</si>
  <si>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</si>
  <si>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</si>
  <si>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</si>
  <si>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</si>
  <si>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</si>
  <si>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</si>
  <si>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</si>
  <si>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</si>
  <si>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</si>
  <si>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</si>
  <si>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</si>
  <si>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</si>
  <si>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</si>
  <si>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</si>
  <si>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</si>
  <si>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</si>
  <si>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</si>
  <si>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</si>
  <si>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</si>
  <si>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</si>
  <si>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</si>
  <si>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</si>
  <si>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</si>
  <si>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</si>
  <si>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</si>
  <si>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</si>
  <si>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</si>
  <si>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</si>
  <si>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</si>
  <si>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</si>
  <si>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</si>
  <si>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</si>
  <si>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</si>
  <si>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</si>
  <si>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</si>
  <si>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</si>
  <si>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</si>
  <si>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</si>
  <si>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</si>
  <si>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</si>
  <si>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</si>
  <si>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</si>
  <si>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</si>
  <si>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</si>
  <si>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</si>
  <si>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</si>
  <si>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</si>
  <si>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</si>
  <si>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</si>
  <si>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</si>
  <si>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</si>
  <si>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</si>
  <si>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</si>
  <si>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</si>
  <si>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</si>
  <si>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</si>
  <si>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</si>
  <si>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</si>
  <si>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</si>
  <si>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</si>
  <si>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</si>
  <si>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</si>
  <si>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</si>
  <si>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</si>
  <si>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</si>
  <si>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</si>
  <si>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</si>
  <si>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</si>
  <si>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</si>
  <si>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</si>
  <si>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</si>
  <si>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</si>
  <si>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</si>
  <si>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</si>
  <si>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</si>
  <si>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</si>
  <si>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</si>
  <si>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</si>
  <si>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</si>
  <si>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</si>
  <si>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</si>
  <si>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</si>
  <si>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</si>
  <si>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</si>
  <si>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</si>
  <si>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</si>
  <si>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</si>
  <si>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</si>
  <si>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</si>
  <si>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</si>
  <si>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</si>
  <si>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</si>
  <si>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</si>
  <si>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</si>
  <si>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</si>
  <si>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</si>
  <si>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</si>
  <si>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</si>
  <si>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</si>
  <si>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</si>
  <si>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</si>
  <si>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</si>
  <si>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</si>
  <si>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</si>
  <si>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</si>
  <si>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</si>
  <si>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</si>
  <si>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</si>
  <si>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</si>
  <si>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</si>
  <si>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</si>
  <si>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</si>
  <si>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</si>
  <si>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</si>
  <si>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</si>
  <si>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</si>
  <si>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</si>
  <si>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</si>
  <si>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</si>
  <si>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</si>
  <si>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</si>
  <si>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</si>
  <si>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</si>
  <si>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</si>
  <si>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</si>
  <si>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</si>
  <si>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</si>
  <si>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</si>
  <si>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</si>
  <si>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</si>
  <si>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</si>
  <si>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</si>
  <si>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</si>
  <si>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</si>
  <si>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</si>
  <si>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</si>
  <si>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</si>
  <si>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</si>
  <si>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</si>
  <si>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</si>
  <si>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</si>
  <si>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</si>
  <si>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</si>
  <si>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</si>
  <si>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</si>
  <si>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</si>
  <si>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</si>
  <si>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</si>
  <si>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</si>
  <si>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</si>
  <si>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</si>
  <si>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</si>
  <si>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</si>
  <si>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</si>
  <si>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</si>
  <si>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</si>
  <si>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</si>
  <si>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</si>
  <si>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</si>
  <si>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</si>
  <si>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</si>
  <si>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</si>
  <si>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</si>
  <si>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</si>
  <si>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</si>
  <si>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</si>
  <si>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</si>
  <si>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</si>
  <si>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</si>
  <si>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</si>
  <si>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</si>
  <si>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</si>
  <si>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</si>
  <si>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</si>
  <si>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</si>
  <si>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</si>
  <si>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</si>
  <si>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</si>
  <si>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</si>
  <si>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</si>
  <si>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</si>
  <si>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</si>
  <si>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</si>
  <si>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</si>
  <si>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</si>
  <si>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</si>
  <si>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</si>
  <si>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</si>
  <si>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</si>
  <si>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</si>
  <si>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</si>
  <si>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</si>
  <si>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</si>
  <si>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</si>
  <si>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</si>
  <si>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</si>
  <si>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</si>
  <si>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</si>
  <si>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</si>
  <si>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</si>
  <si>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</si>
  <si>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</si>
  <si>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</si>
  <si>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</si>
  <si>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</si>
  <si>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</si>
  <si>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</si>
  <si>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</si>
  <si>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</si>
  <si>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</si>
  <si>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</si>
  <si>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</si>
  <si>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</si>
  <si>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</si>
  <si>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</si>
  <si>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</si>
  <si>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</si>
  <si>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</si>
  <si>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</si>
  <si>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</si>
  <si>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</si>
  <si>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</si>
  <si>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</si>
  <si>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</si>
  <si>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</si>
  <si>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</si>
  <si>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</si>
  <si>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</si>
  <si>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</si>
  <si>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</si>
  <si>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</si>
  <si>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</si>
  <si>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</si>
  <si>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</si>
  <si>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</si>
  <si>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</si>
  <si>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</si>
  <si>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</si>
  <si>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</si>
  <si>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</si>
  <si>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</si>
  <si>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</si>
  <si>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</si>
  <si>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</si>
  <si>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</si>
  <si>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</si>
  <si>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</si>
  <si>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</si>
  <si>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</si>
  <si>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</si>
  <si>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</si>
  <si>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</si>
  <si>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</si>
  <si>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</si>
  <si>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</si>
  <si>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</si>
  <si>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</si>
  <si>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</si>
  <si>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</si>
  <si>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</si>
  <si>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</si>
  <si>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</si>
  <si>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</si>
  <si>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</si>
  <si>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</si>
  <si>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</si>
  <si>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</si>
  <si>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</si>
  <si>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</si>
  <si>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</si>
  <si>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</si>
  <si>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</si>
  <si>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</si>
  <si>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</si>
  <si>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</si>
  <si>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</si>
  <si>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</si>
  <si>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</si>
  <si>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</si>
  <si>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</si>
  <si>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</si>
  <si>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</si>
  <si>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</si>
  <si>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</si>
  <si>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</si>
  <si>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</si>
  <si>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</si>
  <si>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</si>
  <si>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</si>
  <si>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</si>
  <si>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</si>
  <si>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</si>
  <si>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</si>
  <si>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</si>
  <si>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</si>
  <si>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</si>
  <si>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</si>
  <si>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</si>
  <si>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</si>
  <si>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</si>
  <si>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</si>
  <si>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</si>
  <si>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</si>
  <si>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</si>
  <si>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</si>
  <si>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</si>
  <si>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</si>
  <si>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</si>
  <si>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</si>
  <si>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</si>
  <si>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</si>
  <si>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</si>
  <si>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</si>
  <si>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</si>
  <si>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</si>
  <si>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</si>
  <si>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</si>
  <si>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</si>
  <si>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</si>
  <si>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</si>
  <si>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</si>
  <si>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</si>
  <si>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</si>
  <si>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</si>
  <si>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</si>
  <si>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</si>
  <si>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</si>
  <si>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</si>
  <si>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</si>
  <si>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</si>
  <si>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</si>
  <si>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</si>
  <si>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</si>
  <si>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</si>
  <si>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</si>
  <si>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</si>
  <si>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</si>
  <si>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</si>
  <si>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</si>
  <si>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</si>
  <si>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</si>
  <si>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</si>
  <si>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</si>
  <si>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</si>
  <si>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</si>
  <si>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</si>
  <si>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</si>
  <si>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</si>
  <si>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</si>
  <si>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</si>
  <si>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</si>
  <si>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</si>
  <si>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</si>
  <si>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</si>
  <si>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</si>
  <si>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</si>
  <si>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</si>
  <si>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</si>
  <si>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</si>
  <si>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</si>
  <si>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</si>
  <si>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</si>
  <si>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</si>
  <si>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</si>
  <si>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</si>
  <si>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</si>
  <si>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</si>
  <si>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</si>
  <si>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</si>
  <si>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</si>
  <si>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</si>
  <si>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</si>
  <si>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</si>
  <si>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</si>
  <si>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</si>
  <si>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</si>
  <si>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</si>
  <si>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</si>
  <si>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</si>
  <si>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</si>
  <si>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</si>
  <si>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</si>
  <si>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</si>
  <si>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</si>
  <si>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</si>
  <si>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</si>
  <si>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</si>
  <si>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</si>
  <si>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</si>
  <si>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</si>
  <si>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</si>
  <si>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</si>
  <si>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</si>
  <si>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</si>
  <si>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</si>
  <si>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</si>
  <si>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</si>
  <si>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</si>
  <si>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</si>
  <si>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</si>
  <si>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</si>
  <si>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</si>
  <si>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</si>
  <si>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</si>
  <si>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</si>
  <si>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</si>
  <si>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</si>
  <si>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</si>
  <si>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</si>
  <si>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</si>
  <si>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</si>
  <si>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</si>
  <si>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</si>
  <si>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</si>
  <si>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</si>
  <si>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</si>
  <si>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</si>
  <si>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</si>
  <si>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</si>
  <si>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</si>
  <si>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</si>
  <si>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</si>
  <si>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</si>
  <si>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</si>
  <si>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</si>
  <si>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</si>
  <si>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</si>
  <si>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</si>
  <si>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</si>
  <si>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</si>
  <si>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</si>
  <si>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</si>
  <si>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</si>
  <si>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</si>
  <si>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</si>
  <si>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</si>
  <si>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</si>
  <si>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</si>
  <si>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</si>
  <si>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</si>
  <si>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</si>
  <si>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</si>
  <si>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</si>
  <si>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</si>
  <si>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</si>
  <si>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</si>
  <si>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</si>
  <si>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</si>
  <si>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</si>
  <si>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</si>
  <si>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</si>
  <si>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</si>
  <si>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</si>
  <si>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</si>
  <si>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</si>
  <si>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</si>
  <si>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</si>
  <si>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</si>
  <si>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</si>
  <si>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</si>
  <si>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</si>
  <si>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</si>
  <si>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</si>
  <si>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</si>
  <si>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</si>
  <si>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</si>
  <si>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</si>
  <si>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</si>
  <si>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</si>
  <si>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</si>
  <si>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</si>
  <si>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</si>
  <si>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</si>
  <si>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</si>
  <si>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</si>
  <si>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</si>
  <si>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</si>
  <si>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</si>
  <si>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</si>
  <si>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</si>
  <si>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</si>
  <si>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</si>
  <si>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</si>
  <si>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</si>
  <si>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</si>
  <si>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</si>
  <si>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</si>
  <si>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</si>
  <si>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</si>
  <si>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</si>
  <si>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</si>
  <si>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</si>
  <si>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</si>
  <si>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</si>
  <si>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</si>
  <si>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</si>
  <si>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</si>
  <si>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</si>
  <si>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</si>
  <si>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</si>
  <si>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</si>
  <si>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</si>
  <si>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</si>
  <si>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</si>
  <si>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</si>
  <si>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</si>
  <si>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</si>
  <si>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</si>
  <si>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</si>
  <si>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</si>
  <si>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</si>
  <si>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</si>
  <si>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</si>
  <si>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</si>
  <si>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</si>
  <si>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</si>
  <si>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</si>
  <si>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</si>
  <si>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</si>
  <si>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</si>
  <si>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</si>
  <si>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</si>
  <si>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</si>
  <si>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</si>
  <si>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</si>
  <si>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</si>
  <si>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</si>
  <si>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</si>
  <si>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</si>
  <si>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</si>
  <si>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</si>
  <si>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</si>
  <si>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</si>
  <si>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</si>
  <si>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</si>
  <si>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</si>
  <si>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</si>
  <si>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</si>
  <si>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</si>
  <si>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</si>
  <si>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</si>
  <si>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</si>
  <si>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</si>
  <si>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</si>
  <si>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</si>
  <si>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</si>
  <si>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</si>
  <si>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</si>
  <si>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</si>
  <si>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</si>
  <si>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</si>
  <si>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</si>
  <si>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</si>
  <si>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</si>
  <si>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</si>
  <si>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</si>
  <si>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</si>
  <si>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</si>
  <si>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</si>
  <si>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</si>
  <si>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</si>
  <si>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</si>
  <si>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</si>
  <si>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</si>
  <si>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</si>
  <si>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</si>
  <si>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</si>
  <si>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</si>
  <si>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</si>
  <si>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</si>
  <si>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</si>
  <si>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</si>
  <si>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</si>
  <si>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</si>
  <si>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</si>
  <si>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</si>
  <si>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</si>
  <si>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</si>
  <si>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</si>
  <si>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</si>
  <si>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</si>
  <si>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</si>
  <si>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</si>
  <si>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</si>
  <si>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</si>
  <si>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</si>
  <si>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</si>
  <si>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</si>
  <si>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</si>
  <si>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</si>
  <si>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</si>
  <si>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</si>
  <si>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</si>
  <si>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</si>
  <si>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</si>
  <si>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</si>
  <si>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</si>
  <si>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</si>
  <si>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</si>
  <si>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</si>
  <si>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</si>
  <si>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</si>
  <si>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</si>
  <si>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</si>
  <si>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</si>
  <si>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</si>
  <si>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</si>
  <si>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</si>
  <si>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</si>
  <si>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</si>
  <si>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</si>
  <si>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</si>
  <si>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</si>
  <si>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</si>
  <si>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</si>
  <si>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</si>
  <si>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</si>
  <si>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</si>
  <si>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</si>
  <si>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</si>
  <si>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</si>
  <si>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</si>
  <si>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</si>
  <si>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</si>
  <si>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</si>
  <si>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</si>
  <si>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</si>
  <si>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</si>
  <si>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</si>
  <si>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</si>
  <si>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</si>
  <si>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</si>
  <si>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</si>
  <si>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</si>
  <si>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</si>
  <si>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</si>
  <si>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</si>
  <si>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</si>
  <si>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</si>
  <si>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</si>
  <si>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</si>
  <si>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</si>
  <si>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</si>
  <si>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</si>
  <si>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</si>
  <si>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</si>
  <si>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</si>
  <si>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</si>
  <si>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</si>
  <si>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</si>
  <si>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</si>
  <si>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</si>
  <si>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</si>
  <si>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</si>
  <si>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</si>
  <si>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</si>
  <si>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</si>
  <si>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</si>
  <si>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</si>
  <si>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</si>
  <si>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</si>
  <si>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</si>
  <si>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</si>
  <si>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</si>
  <si>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</si>
  <si>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</si>
  <si>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</si>
  <si>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</si>
  <si>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</si>
  <si>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</si>
  <si>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</si>
  <si>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</si>
  <si>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</si>
  <si>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</si>
  <si>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</si>
  <si>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</si>
  <si>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</si>
  <si>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</si>
  <si>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</si>
  <si>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</si>
  <si>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</si>
  <si>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</si>
  <si>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</si>
  <si>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</si>
  <si>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</si>
  <si>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</si>
  <si>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</si>
  <si>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</si>
  <si>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</si>
  <si>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</si>
  <si>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</si>
  <si>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</si>
  <si>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</si>
  <si>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</si>
  <si>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</si>
  <si>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</si>
  <si>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</si>
  <si>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</si>
  <si>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</si>
  <si>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</si>
  <si>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</si>
  <si>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</si>
  <si>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</si>
  <si>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</si>
  <si>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</si>
  <si>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</si>
  <si>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</si>
  <si>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</si>
  <si>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</si>
  <si>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</si>
  <si>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</si>
  <si>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</si>
  <si>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</si>
  <si>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</si>
  <si>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</si>
  <si>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</si>
  <si>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</si>
  <si>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</si>
  <si>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</si>
  <si>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</si>
  <si>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</si>
  <si>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</si>
  <si>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</si>
  <si>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</si>
  <si>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</si>
  <si>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</si>
  <si>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</si>
  <si>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</si>
  <si>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</si>
  <si>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</si>
  <si>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</si>
  <si>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</si>
  <si>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</si>
  <si>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</si>
  <si>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</si>
  <si>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</si>
  <si>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</si>
  <si>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</si>
  <si>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</si>
  <si>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</si>
  <si>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</si>
  <si>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</si>
  <si>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</si>
  <si>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</si>
  <si>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</si>
  <si>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</si>
  <si>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</si>
  <si>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</si>
  <si>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</si>
  <si>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</si>
  <si>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</si>
  <si>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</si>
  <si>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</si>
  <si>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</si>
  <si>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</si>
  <si>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</si>
  <si>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</si>
  <si>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</si>
  <si>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</si>
  <si>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</si>
  <si>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</si>
  <si>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</si>
  <si>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</si>
  <si>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</si>
  <si>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</si>
  <si>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</si>
  <si>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</si>
  <si>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</si>
  <si>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</si>
  <si>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</si>
  <si>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</si>
  <si>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</si>
  <si>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</si>
  <si>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</si>
  <si>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</si>
  <si>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</si>
  <si>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</si>
  <si>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</si>
  <si>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</si>
  <si>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</si>
  <si>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</si>
  <si>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</si>
  <si>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</si>
  <si>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</si>
  <si>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</si>
  <si>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</si>
  <si>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</si>
  <si>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</si>
  <si>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</si>
  <si>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</si>
  <si>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</si>
  <si>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</si>
  <si>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</si>
  <si>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</si>
  <si>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</si>
  <si>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</si>
  <si>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</si>
  <si>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</si>
  <si>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</si>
  <si>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</si>
  <si>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</si>
  <si>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</si>
  <si>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</si>
  <si>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</si>
  <si>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</si>
  <si>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</si>
  <si>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</si>
  <si>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</si>
  <si>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</si>
  <si>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</si>
  <si>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</si>
  <si>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</si>
  <si>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</si>
  <si>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</si>
  <si>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</si>
  <si>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</si>
  <si>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</si>
  <si>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</si>
  <si>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</si>
  <si>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</si>
  <si>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</si>
  <si>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</si>
  <si>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</si>
  <si>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</si>
  <si>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</si>
  <si>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</si>
  <si>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</si>
  <si>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</si>
  <si>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</si>
  <si>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</si>
  <si>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</si>
  <si>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</si>
  <si>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</si>
  <si>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</si>
  <si>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</si>
  <si>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</si>
  <si>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</si>
  <si>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</si>
  <si>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</si>
  <si>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</si>
  <si>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</si>
  <si>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</si>
  <si>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</si>
  <si>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</si>
  <si>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</si>
  <si>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</si>
  <si>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</si>
  <si>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</si>
  <si>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</si>
  <si>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</si>
  <si>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</si>
  <si>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</si>
  <si>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</si>
  <si>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</si>
  <si>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</si>
  <si>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</si>
  <si>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</si>
  <si>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</si>
  <si>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</si>
  <si>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</si>
  <si>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</si>
  <si>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</si>
  <si>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</si>
  <si>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</si>
  <si>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</si>
  <si>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</si>
  <si>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</si>
  <si>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</si>
  <si>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</si>
  <si>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</si>
  <si>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</si>
  <si>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</si>
  <si>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</si>
  <si>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</si>
  <si>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</si>
  <si>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</si>
  <si>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</si>
  <si>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</si>
  <si>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</si>
  <si>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</si>
  <si>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</si>
  <si>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</si>
  <si>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</si>
  <si>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</si>
  <si>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</si>
  <si>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</si>
  <si>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</si>
  <si>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</si>
  <si>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</si>
  <si>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</si>
  <si>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</si>
  <si>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</si>
  <si>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</si>
  <si>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</si>
  <si>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</si>
  <si>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</si>
  <si>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</si>
  <si>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</si>
  <si>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</si>
  <si>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</si>
  <si>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</si>
  <si>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</si>
  <si>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</si>
  <si>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</si>
  <si>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</si>
  <si>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</si>
  <si>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</si>
  <si>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</si>
  <si>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</si>
  <si>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</si>
  <si>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</si>
  <si>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</si>
  <si>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</si>
  <si>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</si>
  <si>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</si>
  <si>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</si>
  <si>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</si>
  <si>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</si>
  <si>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</si>
  <si>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</si>
  <si>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</si>
  <si>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</si>
  <si>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</si>
  <si>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</si>
  <si>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</si>
  <si>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</si>
  <si>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</si>
  <si>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</si>
  <si>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</si>
  <si>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</si>
  <si>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</si>
  <si>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</si>
  <si>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</si>
  <si>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</si>
  <si>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</si>
  <si>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</si>
  <si>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</si>
  <si>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</si>
  <si>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</si>
  <si>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</si>
  <si>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</si>
  <si>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</si>
  <si>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</si>
  <si>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</si>
  <si>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</si>
  <si>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</si>
  <si>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</si>
  <si>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</si>
  <si>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</si>
  <si>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</si>
  <si>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</si>
  <si>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</si>
  <si>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</si>
  <si>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</si>
  <si>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</si>
  <si>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</si>
  <si>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</si>
  <si>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</si>
  <si>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</si>
  <si>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</si>
  <si>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</si>
  <si>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</si>
  <si>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</si>
  <si>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</si>
  <si>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</si>
  <si>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</si>
  <si>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</si>
  <si>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</si>
  <si>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</si>
  <si>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</si>
  <si>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</si>
  <si>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</si>
  <si>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</si>
  <si>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</si>
  <si>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</si>
  <si>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</si>
  <si>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</si>
  <si>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</si>
  <si>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</si>
  <si>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</si>
  <si>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</si>
  <si>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</si>
  <si>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</si>
  <si>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</si>
  <si>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</si>
  <si>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</si>
  <si>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</si>
  <si>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</si>
  <si>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</si>
  <si>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</si>
  <si>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</si>
  <si>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</si>
  <si>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</si>
  <si>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</si>
  <si>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</si>
  <si>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</si>
  <si>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</si>
  <si>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</si>
  <si>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</si>
  <si>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</si>
  <si>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</si>
  <si>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</si>
  <si>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</si>
  <si>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</si>
  <si>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</si>
  <si>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</si>
  <si>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</si>
  <si>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</si>
  <si>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</si>
  <si>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</si>
  <si>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</si>
  <si>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</si>
  <si>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</si>
  <si>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</si>
  <si>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</si>
  <si>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</si>
  <si>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</si>
  <si>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</si>
  <si>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</si>
  <si>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</si>
  <si>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</si>
  <si>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</si>
  <si>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</si>
  <si>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</si>
  <si>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</si>
  <si>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</si>
  <si>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</si>
  <si>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</si>
  <si>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</si>
  <si>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</si>
  <si>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</si>
  <si>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</si>
  <si>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</si>
  <si>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</si>
  <si>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</si>
  <si>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</si>
  <si>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</si>
  <si>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</si>
  <si>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</si>
  <si>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</si>
  <si>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</si>
  <si>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</si>
  <si>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</si>
  <si>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</si>
  <si>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</si>
  <si>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</si>
  <si>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</si>
  <si>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</si>
  <si>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</si>
  <si>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</si>
  <si>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</si>
  <si>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</si>
  <si>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</si>
  <si>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</si>
  <si>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</si>
  <si>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</si>
  <si>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</si>
  <si>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</si>
  <si>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</si>
  <si>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</si>
  <si>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</si>
  <si>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</si>
  <si>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</si>
  <si>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</si>
  <si>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</si>
  <si>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</si>
  <si>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</si>
  <si>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</si>
  <si>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</si>
  <si>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</si>
  <si>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</si>
  <si>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</si>
  <si>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</si>
  <si>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</si>
  <si>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</si>
  <si>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</si>
  <si>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</si>
  <si>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</si>
  <si>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</si>
  <si>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</si>
  <si>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</si>
  <si>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</si>
  <si>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</si>
  <si>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</si>
  <si>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</si>
  <si>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</si>
  <si>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</si>
  <si>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</si>
  <si>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</si>
  <si>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</si>
  <si>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</si>
  <si>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</si>
  <si>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</si>
  <si>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</si>
  <si>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</si>
  <si>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</si>
  <si>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</si>
  <si>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</si>
  <si>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</si>
  <si>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</si>
  <si>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</si>
  <si>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</si>
  <si>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</si>
  <si>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</si>
  <si>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</si>
  <si>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</si>
  <si>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</si>
  <si>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</si>
  <si>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</si>
  <si>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</si>
  <si>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</si>
  <si>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</si>
  <si>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</si>
  <si>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</si>
  <si>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</si>
  <si>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</si>
  <si>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</si>
  <si>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</si>
  <si>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</si>
  <si>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</si>
  <si>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</si>
  <si>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</si>
  <si>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</si>
  <si>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</si>
  <si>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</si>
  <si>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</si>
  <si>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</si>
  <si>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</si>
  <si>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</si>
  <si>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</si>
  <si>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</si>
  <si>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</si>
  <si>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</si>
  <si>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</si>
  <si>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</si>
  <si>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</si>
  <si>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</si>
  <si>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</si>
  <si>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</si>
  <si>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</si>
  <si>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</si>
  <si>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</si>
  <si>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</si>
  <si>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</si>
  <si>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</si>
  <si>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</si>
  <si>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</si>
  <si>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</si>
  <si>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</si>
  <si>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</si>
  <si>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</si>
  <si>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</si>
  <si>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</si>
  <si>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</si>
  <si>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</si>
  <si>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</si>
  <si>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</si>
  <si>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</si>
  <si>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</si>
  <si>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</si>
  <si>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</si>
  <si>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</si>
  <si>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</si>
  <si>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</si>
  <si>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</si>
  <si>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</si>
  <si>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</si>
  <si>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</si>
  <si>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</si>
  <si>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</si>
  <si>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</si>
  <si>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</si>
  <si>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</si>
  <si>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</si>
  <si>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</si>
  <si>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</si>
  <si>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</si>
  <si>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</si>
  <si>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</si>
  <si>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</si>
  <si>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</si>
  <si>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</si>
  <si>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</si>
  <si>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</si>
  <si>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</si>
  <si>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</si>
  <si>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</si>
  <si>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</si>
  <si>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</si>
  <si>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</si>
  <si>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</si>
  <si>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</si>
  <si>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</si>
  <si>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</si>
  <si>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</si>
  <si>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</si>
  <si>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</si>
  <si>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</si>
  <si>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</si>
  <si>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</si>
  <si>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</si>
  <si>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</si>
  <si>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</si>
  <si>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</si>
  <si>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</si>
  <si>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</si>
  <si>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</si>
  <si>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</si>
  <si>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</si>
  <si>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</si>
  <si>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</si>
  <si>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</si>
  <si>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</si>
  <si>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</si>
  <si>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</si>
  <si>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</si>
  <si>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</si>
  <si>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</si>
  <si>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</si>
  <si>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</si>
  <si>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</si>
  <si>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</si>
  <si>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</si>
  <si>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</si>
  <si>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</si>
  <si>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</si>
  <si>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</si>
  <si>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</si>
  <si>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</si>
  <si>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</si>
  <si>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</si>
  <si>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</si>
  <si>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</si>
  <si>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</si>
  <si>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</si>
  <si>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</si>
  <si>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</si>
  <si>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</si>
  <si>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</si>
  <si>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</si>
  <si>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</si>
  <si>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</si>
  <si>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</si>
  <si>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</si>
  <si>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</si>
  <si>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</si>
  <si>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</si>
  <si>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</si>
  <si>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</si>
  <si>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</si>
  <si>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</si>
  <si>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</si>
  <si>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</si>
  <si>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</si>
  <si>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</si>
  <si>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</si>
  <si>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</si>
  <si>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</si>
  <si>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</si>
  <si>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</si>
  <si>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</si>
  <si>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</si>
  <si>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</si>
  <si>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</si>
  <si>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</si>
  <si>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</si>
  <si>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</si>
  <si>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</si>
  <si>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</si>
  <si>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</si>
  <si>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</si>
  <si>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</si>
  <si>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</si>
  <si>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</si>
  <si>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</si>
  <si>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</si>
  <si>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</si>
  <si>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</si>
  <si>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</si>
  <si>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</si>
  <si>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</si>
  <si>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</si>
  <si>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</si>
  <si>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</si>
  <si>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</si>
  <si>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</si>
  <si>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</si>
  <si>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</si>
  <si>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</si>
  <si>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</si>
  <si>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</si>
  <si>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</si>
  <si>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</si>
  <si>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</si>
  <si>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</si>
  <si>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</si>
  <si>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</si>
  <si>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</si>
  <si>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</si>
  <si>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</si>
  <si>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</si>
  <si>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</si>
  <si>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</si>
  <si>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</si>
  <si>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</si>
  <si>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</si>
  <si>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</si>
  <si>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</si>
  <si>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</si>
  <si>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</si>
  <si>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</si>
  <si>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</si>
  <si>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</si>
  <si>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</si>
  <si>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</si>
  <si>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</si>
  <si>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</si>
  <si>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</si>
  <si>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</si>
  <si>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</si>
  <si>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</si>
  <si>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</si>
  <si>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</si>
  <si>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</si>
  <si>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</si>
  <si>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</si>
  <si>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</si>
  <si>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</si>
  <si>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</si>
  <si>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</si>
  <si>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</si>
  <si>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</si>
  <si>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</si>
  <si>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</si>
  <si>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</si>
  <si>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</si>
  <si>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</si>
  <si>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</si>
  <si>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</si>
  <si>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</si>
  <si>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</si>
  <si>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</si>
  <si>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</si>
  <si>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</si>
  <si>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</si>
  <si>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</si>
  <si>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</si>
  <si>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</si>
  <si>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</si>
  <si>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</si>
  <si>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</si>
  <si>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</si>
  <si>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</si>
  <si>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</si>
  <si>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</si>
  <si>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</si>
  <si>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</si>
  <si>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</si>
  <si>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</si>
  <si>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</si>
  <si>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</si>
  <si>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</si>
  <si>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</si>
  <si>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</si>
  <si>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</si>
  <si>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</si>
  <si>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</si>
  <si>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</si>
  <si>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</si>
  <si>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</si>
  <si>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</si>
  <si>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</si>
  <si>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</si>
  <si>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</si>
  <si>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</si>
  <si>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</si>
  <si>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</si>
  <si>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</si>
  <si>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</si>
  <si>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</si>
  <si>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</si>
  <si>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</si>
  <si>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</si>
  <si>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</si>
  <si>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</si>
  <si>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</si>
  <si>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</si>
  <si>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</si>
  <si>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</si>
  <si>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</si>
  <si>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</si>
  <si>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</si>
  <si>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</si>
  <si>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</si>
  <si>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</si>
  <si>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</si>
  <si>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</si>
  <si>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</si>
  <si>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</si>
  <si>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</si>
  <si>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</si>
  <si>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</si>
  <si>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</si>
  <si>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</si>
  <si>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</si>
  <si>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</si>
  <si>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</si>
  <si>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</si>
  <si>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</si>
  <si>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</si>
  <si>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</si>
  <si>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</si>
  <si>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</si>
  <si>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</si>
  <si>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</si>
  <si>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</si>
  <si>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</si>
  <si>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</si>
  <si>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</si>
  <si>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</si>
  <si>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</si>
  <si>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</si>
  <si>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</si>
  <si>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</si>
  <si>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</si>
  <si>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</si>
  <si>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</si>
  <si>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</si>
  <si>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</si>
  <si>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</si>
  <si>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</si>
  <si>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</si>
  <si>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</si>
  <si>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</si>
  <si>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</si>
  <si>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</si>
  <si>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</si>
  <si>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</si>
  <si>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</si>
  <si>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</si>
  <si>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</si>
  <si>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</si>
  <si>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</si>
  <si>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</si>
  <si>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</si>
  <si>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</si>
  <si>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</si>
  <si>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</si>
  <si>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</si>
  <si>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</si>
  <si>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</si>
  <si>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</si>
  <si>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</si>
  <si>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</si>
  <si>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</si>
  <si>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</si>
  <si>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</si>
  <si>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</si>
  <si>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</si>
  <si>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</si>
  <si>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</si>
  <si>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</si>
  <si>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</si>
  <si>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</si>
  <si>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</si>
  <si>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</si>
  <si>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</si>
  <si>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</si>
  <si>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</si>
  <si>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</si>
  <si>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</si>
  <si>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</si>
  <si>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</si>
  <si>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</si>
  <si>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</si>
  <si>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</si>
  <si>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</si>
  <si>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</si>
  <si>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</si>
  <si>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</si>
  <si>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</si>
  <si>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</si>
  <si>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</si>
  <si>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</si>
  <si>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</si>
  <si>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</si>
  <si>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</si>
  <si>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</si>
  <si>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</si>
  <si>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</si>
  <si>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</si>
  <si>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</si>
  <si>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</si>
  <si>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</si>
  <si>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</si>
  <si>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</si>
  <si>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</si>
  <si>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</si>
  <si>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</si>
  <si>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</si>
  <si>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</si>
  <si>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</si>
  <si>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</si>
  <si>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</si>
  <si>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</si>
  <si>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</si>
  <si>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</si>
  <si>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</si>
  <si>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</si>
  <si>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</si>
  <si>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</si>
  <si>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</si>
  <si>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</si>
  <si>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</si>
  <si>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</si>
  <si>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</si>
  <si>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</si>
  <si>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</si>
  <si>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</si>
  <si>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</si>
  <si>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</si>
  <si>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</si>
  <si>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</si>
  <si>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</si>
  <si>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</si>
  <si>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</si>
  <si>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</si>
  <si>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</si>
  <si>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</si>
  <si>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</si>
  <si>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</si>
  <si>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</si>
  <si>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</si>
  <si>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</si>
  <si>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</si>
  <si>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</si>
  <si>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</si>
  <si>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</si>
  <si>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</si>
  <si>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</si>
  <si>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</si>
  <si>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</si>
  <si>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</si>
  <si>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</si>
  <si>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</si>
  <si>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</si>
  <si>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</si>
  <si>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</si>
  <si>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</si>
  <si>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</si>
  <si>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</si>
  <si>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</si>
  <si>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</si>
  <si>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</si>
  <si>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</si>
  <si>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</si>
  <si>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</si>
  <si>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</si>
  <si>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</si>
  <si>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</si>
  <si>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</si>
  <si>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</si>
  <si>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</si>
  <si>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</si>
  <si>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</si>
  <si>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</si>
  <si>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</si>
  <si>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</si>
  <si>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</si>
  <si>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</si>
  <si>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</si>
  <si>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</si>
  <si>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</si>
  <si>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</si>
  <si>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</si>
  <si>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</si>
  <si>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</si>
  <si>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</si>
  <si>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</si>
  <si>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</si>
  <si>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</si>
  <si>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</si>
  <si>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</si>
  <si>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</si>
  <si>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</si>
  <si>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</si>
  <si>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</si>
  <si>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</si>
  <si>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</si>
  <si>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</si>
  <si>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</si>
  <si>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</si>
  <si>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</si>
  <si>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</si>
  <si>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</si>
  <si>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</si>
  <si>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</si>
  <si>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</si>
  <si>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</si>
  <si>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</si>
  <si>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</si>
  <si>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</si>
  <si>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</si>
  <si>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</si>
  <si>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</si>
  <si>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</si>
  <si>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</si>
  <si>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</si>
  <si>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</si>
  <si>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</si>
  <si>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</si>
  <si>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</si>
  <si>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</si>
  <si>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</si>
  <si>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</si>
  <si>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</si>
  <si>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</si>
  <si>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</si>
  <si>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</si>
  <si>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</si>
  <si>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</si>
  <si>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</si>
  <si>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</si>
  <si>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</si>
  <si>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</si>
  <si>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</si>
  <si>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</si>
  <si>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</si>
  <si>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</si>
  <si>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</si>
  <si>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</si>
  <si>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</si>
  <si>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</si>
  <si>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</si>
  <si>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</si>
  <si>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</si>
  <si>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</si>
  <si>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</si>
  <si>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</si>
  <si>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</si>
  <si>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</si>
  <si>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</si>
  <si>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</si>
  <si>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</si>
  <si>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</si>
  <si>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</si>
  <si>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</si>
  <si>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</si>
  <si>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</si>
  <si>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</si>
  <si>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</si>
  <si>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</si>
  <si>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</si>
  <si>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</si>
  <si>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</si>
  <si>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</si>
  <si>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</si>
  <si>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</si>
  <si>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</si>
  <si>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</si>
  <si>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</si>
  <si>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</si>
  <si>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</si>
  <si>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</si>
  <si>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</si>
  <si>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</si>
  <si>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</si>
  <si>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</si>
  <si>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</si>
  <si>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</si>
  <si>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</si>
  <si>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</si>
  <si>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</si>
  <si>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</si>
  <si>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</si>
  <si>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</si>
  <si>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</si>
  <si>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</si>
  <si>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</si>
  <si>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</si>
  <si>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</si>
  <si>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</si>
  <si>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</si>
  <si>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</si>
  <si>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</si>
  <si>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</si>
  <si>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</si>
  <si>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</si>
  <si>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</si>
  <si>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</si>
  <si>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</si>
  <si>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</si>
  <si>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</si>
  <si>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</si>
  <si>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</si>
  <si>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</si>
  <si>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</si>
  <si>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</si>
  <si>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</si>
  <si>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</si>
  <si>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</si>
  <si>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</si>
  <si>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</si>
  <si>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</si>
  <si>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</si>
  <si>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</si>
  <si>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</si>
  <si>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</si>
  <si>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</si>
  <si>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</si>
  <si>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</si>
  <si>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</si>
  <si>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</si>
  <si>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</si>
  <si>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</si>
  <si>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</si>
  <si>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</si>
  <si>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</si>
  <si>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</si>
  <si>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</si>
  <si>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</si>
  <si>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</si>
  <si>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</si>
  <si>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</si>
  <si>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</si>
  <si>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</si>
  <si>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</si>
  <si>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</si>
  <si>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</si>
  <si>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</si>
  <si>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</si>
  <si>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</si>
  <si>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</si>
  <si>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</si>
  <si>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</si>
  <si>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</si>
  <si>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</si>
  <si>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</si>
  <si>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</si>
  <si>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</si>
  <si>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</si>
  <si>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</si>
  <si>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</si>
  <si>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</si>
  <si>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</si>
  <si>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</si>
  <si>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</si>
  <si>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</si>
  <si>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</si>
  <si>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</si>
  <si>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</si>
  <si>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</si>
  <si>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</si>
  <si>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</si>
  <si>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</si>
  <si>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</si>
  <si>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</si>
  <si>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</si>
  <si>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</si>
  <si>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</si>
  <si>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</si>
  <si>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</si>
  <si>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</si>
  <si>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</si>
  <si>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</si>
  <si>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</si>
  <si>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</si>
  <si>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</si>
  <si>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</si>
  <si>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</si>
  <si>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</si>
  <si>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</si>
  <si>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</si>
  <si>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</si>
  <si>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</si>
  <si>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</si>
  <si>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</si>
  <si>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</si>
  <si>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</si>
  <si>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</si>
  <si>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</si>
  <si>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</si>
  <si>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</si>
  <si>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</si>
  <si>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</si>
  <si>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</si>
  <si>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</si>
  <si>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</si>
  <si>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</si>
  <si>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</si>
  <si>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</si>
  <si>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</si>
  <si>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</si>
  <si>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</si>
  <si>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</si>
  <si>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</si>
  <si>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</si>
  <si>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</si>
  <si>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</si>
  <si>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</si>
  <si>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</si>
  <si>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</si>
  <si>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</si>
  <si>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</si>
  <si>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</si>
  <si>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</si>
  <si>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</si>
  <si>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</si>
  <si>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</si>
  <si>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</si>
  <si>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</si>
  <si>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</si>
  <si>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</si>
  <si>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</si>
  <si>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</si>
  <si>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</si>
  <si>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</si>
  <si>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</si>
  <si>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</si>
  <si>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</si>
  <si>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</si>
  <si>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</si>
  <si>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</si>
  <si>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</si>
  <si>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</si>
  <si>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</si>
  <si>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</si>
  <si>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</si>
  <si>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</si>
  <si>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</si>
  <si>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</si>
  <si>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</si>
  <si>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</si>
  <si>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</si>
  <si>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</si>
  <si>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</si>
  <si>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</si>
  <si>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</si>
  <si>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</si>
  <si>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</si>
  <si>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</si>
  <si>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</si>
  <si>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</si>
  <si>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</si>
  <si>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</si>
  <si>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</si>
  <si>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</si>
  <si>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</si>
  <si>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</si>
  <si>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</si>
  <si>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</si>
  <si>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</si>
  <si>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</si>
  <si>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</si>
  <si>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</si>
  <si>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</si>
  <si>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</si>
  <si>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</si>
  <si>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</si>
  <si>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</si>
  <si>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</si>
  <si>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</si>
  <si>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</si>
  <si>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</si>
  <si>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</si>
  <si>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</si>
  <si>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</si>
  <si>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</si>
  <si>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</si>
  <si>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</si>
  <si>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</si>
  <si>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</si>
  <si>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</si>
  <si>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</si>
  <si>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</si>
  <si>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</si>
  <si>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</si>
  <si>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</si>
  <si>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</si>
  <si>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</si>
  <si>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</si>
  <si>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</si>
  <si>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</si>
  <si>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</si>
  <si>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</si>
  <si>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</si>
  <si>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</si>
  <si>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</si>
  <si>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</si>
  <si>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</si>
  <si>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</si>
  <si>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</si>
  <si>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</si>
  <si>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</si>
  <si>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</si>
  <si>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</si>
  <si>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</si>
  <si>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</si>
  <si>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</si>
  <si>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</si>
  <si>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</si>
  <si>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</si>
  <si>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</si>
  <si>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</si>
  <si>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</si>
  <si>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</si>
  <si>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</si>
  <si>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</si>
  <si>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</si>
  <si>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</si>
  <si>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</si>
  <si>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</si>
  <si>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</si>
  <si>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</si>
  <si>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</si>
  <si>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</si>
  <si>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</si>
  <si>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</si>
  <si>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</si>
  <si>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</si>
  <si>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</si>
  <si>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</si>
  <si>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</si>
  <si>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</si>
  <si>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</si>
  <si>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</si>
  <si>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</si>
  <si>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</si>
  <si>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</si>
  <si>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</si>
  <si>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</si>
  <si>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</si>
  <si>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</si>
  <si>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</si>
  <si>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</si>
  <si>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</si>
  <si>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</si>
  <si>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</si>
  <si>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</si>
  <si>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</si>
  <si>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</si>
  <si>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</si>
  <si>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</si>
  <si>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</si>
  <si>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</si>
  <si>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</si>
  <si>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</si>
  <si>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</si>
  <si>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</si>
  <si>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</si>
  <si>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</si>
  <si>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</si>
  <si>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</si>
  <si>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</si>
  <si>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</si>
  <si>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</si>
  <si>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</si>
  <si>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</si>
  <si>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</si>
  <si>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</si>
  <si>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</si>
  <si>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</si>
  <si>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</si>
  <si>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</si>
  <si>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</si>
  <si>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</si>
  <si>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</si>
  <si>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</si>
  <si>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</si>
  <si>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</si>
  <si>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</si>
  <si>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</si>
  <si>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</si>
  <si>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</si>
  <si>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</si>
  <si>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</si>
  <si>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</si>
  <si>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</si>
  <si>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</si>
  <si>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</si>
  <si>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</si>
  <si>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</si>
  <si>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</si>
  <si>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</si>
  <si>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</si>
  <si>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</si>
  <si>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</si>
  <si>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</si>
  <si>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</si>
  <si>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</si>
  <si>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</si>
  <si>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</si>
  <si>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</si>
  <si>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</si>
  <si>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</si>
  <si>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</si>
  <si>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</si>
  <si>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</si>
  <si>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</si>
  <si>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</si>
  <si>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</si>
  <si>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</si>
  <si>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</si>
  <si>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</si>
  <si>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</si>
  <si>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</si>
  <si>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</si>
  <si>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</si>
  <si>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</si>
  <si>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</si>
  <si>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</si>
  <si>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</si>
  <si>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</si>
  <si>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</si>
  <si>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</si>
  <si>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</si>
  <si>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</si>
  <si>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</si>
  <si>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</si>
  <si>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</si>
  <si>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</si>
  <si>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</si>
  <si>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</si>
  <si>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</si>
  <si>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</si>
  <si>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</si>
  <si>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</si>
  <si>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</si>
  <si>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</si>
  <si>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</si>
  <si>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</si>
  <si>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</si>
  <si>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</si>
  <si>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</si>
  <si>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</si>
  <si>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</si>
  <si>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</si>
  <si>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</si>
  <si>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</si>
  <si>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</si>
  <si>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</si>
  <si>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</si>
  <si>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</si>
  <si>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</si>
  <si>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</si>
  <si>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</si>
  <si>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</si>
  <si>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</si>
  <si>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</si>
  <si>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</si>
  <si>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</si>
  <si>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</si>
  <si>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</si>
  <si>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</si>
  <si>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</si>
  <si>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</si>
  <si>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</si>
  <si>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</si>
  <si>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</si>
  <si>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</si>
  <si>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</si>
  <si>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</si>
  <si>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</si>
  <si>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</si>
  <si>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</si>
  <si>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</si>
  <si>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</si>
  <si>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</si>
  <si>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</si>
  <si>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</si>
  <si>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</si>
  <si>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</si>
  <si>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</si>
  <si>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</si>
  <si>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</si>
  <si>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</si>
  <si>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</si>
  <si>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</si>
  <si>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</si>
  <si>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</si>
  <si>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</si>
  <si>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</si>
  <si>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</si>
  <si>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</si>
  <si>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</si>
  <si>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</si>
  <si>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</si>
  <si>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</si>
  <si>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</si>
  <si>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</si>
  <si>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</si>
  <si>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</si>
  <si>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</si>
  <si>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</si>
  <si>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</si>
  <si>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</si>
  <si>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</si>
  <si>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</si>
  <si>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</si>
  <si>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</si>
  <si>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</si>
  <si>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</si>
  <si>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</si>
  <si>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</si>
  <si>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</si>
  <si>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</si>
  <si>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</si>
  <si>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</si>
  <si>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</si>
  <si>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</si>
  <si>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</si>
  <si>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</si>
  <si>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</si>
  <si>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</si>
  <si>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</si>
  <si>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</si>
  <si>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</si>
  <si>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</si>
  <si>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</si>
  <si>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</si>
  <si>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</si>
  <si>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</si>
  <si>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</si>
  <si>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</si>
  <si>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</si>
  <si>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</si>
  <si>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</si>
  <si>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</si>
  <si>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</si>
  <si>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</si>
  <si>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</si>
  <si>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</si>
  <si>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</si>
  <si>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</si>
  <si>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</si>
  <si>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</si>
  <si>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</si>
  <si>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</si>
  <si>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</si>
  <si>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</si>
  <si>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</si>
  <si>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</si>
  <si>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</si>
  <si>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</si>
  <si>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</si>
  <si>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</si>
  <si>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</si>
  <si>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</si>
  <si>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</si>
  <si>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</si>
  <si>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</si>
  <si>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</si>
  <si>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</si>
  <si>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</si>
  <si>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</si>
  <si>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</si>
  <si>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</si>
  <si>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</si>
  <si>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</si>
  <si>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</si>
  <si>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</si>
  <si>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</si>
  <si>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</si>
  <si>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</si>
  <si>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</si>
  <si>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</si>
  <si>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</si>
  <si>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</si>
  <si>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</si>
  <si>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</si>
  <si>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</si>
  <si>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</si>
  <si>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</si>
  <si>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</si>
  <si>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</si>
  <si>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</si>
  <si>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</si>
  <si>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</si>
  <si>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</si>
  <si>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</si>
  <si>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</si>
  <si>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</si>
  <si>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</si>
  <si>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</si>
  <si>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</si>
  <si>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</si>
  <si>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</si>
  <si>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</si>
  <si>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</si>
  <si>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</si>
  <si>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</si>
  <si>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</si>
  <si>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</si>
  <si>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</si>
  <si>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</si>
  <si>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</si>
  <si>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</si>
  <si>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</si>
  <si>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</si>
  <si>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</si>
  <si>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</si>
  <si>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</si>
  <si>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</si>
  <si>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</si>
  <si>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</si>
  <si>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</si>
  <si>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</si>
  <si>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</si>
  <si>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</si>
  <si>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</si>
  <si>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</si>
  <si>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</si>
  <si>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</si>
  <si>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</si>
  <si>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</si>
  <si>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</si>
  <si>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</si>
  <si>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</si>
  <si>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</si>
  <si>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</si>
  <si>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</si>
  <si>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</si>
  <si>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</si>
  <si>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</si>
  <si>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</si>
  <si>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</si>
  <si>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</si>
  <si>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</si>
  <si>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</si>
  <si>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</si>
  <si>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</si>
  <si>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</si>
  <si>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</si>
  <si>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</si>
  <si>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</si>
  <si>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</si>
  <si>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</si>
  <si>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</si>
  <si>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</si>
  <si>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</si>
  <si>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</si>
  <si>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</si>
  <si>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</si>
  <si>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</si>
  <si>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</si>
  <si>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</si>
  <si>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</si>
  <si>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</si>
  <si>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</si>
  <si>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</si>
  <si>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</si>
  <si>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</si>
  <si>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</si>
  <si>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</si>
  <si>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</si>
  <si>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</si>
  <si>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</si>
  <si>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</si>
  <si>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</si>
  <si>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</si>
  <si>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</si>
  <si>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</si>
  <si>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</si>
  <si>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</si>
  <si>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</si>
  <si>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</si>
  <si>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</si>
  <si>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</si>
  <si>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</si>
  <si>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</si>
  <si>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</si>
  <si>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</si>
  <si>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</si>
  <si>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</si>
  <si>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</si>
  <si>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</si>
  <si>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</si>
  <si>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</si>
  <si>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</si>
  <si>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</si>
  <si>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</si>
  <si>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</si>
  <si>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</si>
  <si>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</si>
  <si>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</si>
  <si>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</si>
  <si>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</si>
  <si>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</si>
  <si>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</si>
  <si>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</si>
  <si>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</si>
  <si>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</si>
  <si>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</si>
  <si>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</si>
  <si>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</si>
  <si>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</si>
  <si>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</si>
  <si>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</si>
  <si>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</si>
  <si>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</si>
  <si>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</si>
  <si>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</si>
  <si>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</si>
  <si>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</si>
  <si>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</si>
  <si>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</si>
  <si>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</si>
  <si>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</si>
  <si>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</si>
  <si>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</si>
  <si>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</si>
  <si>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</si>
  <si>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</si>
  <si>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</si>
  <si>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</si>
  <si>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</si>
  <si>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</si>
  <si>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</si>
  <si>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</si>
  <si>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</si>
  <si>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</si>
  <si>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</si>
  <si>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</si>
  <si>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</si>
  <si>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</si>
  <si>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</si>
  <si>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</si>
  <si>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</si>
  <si>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</si>
  <si>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</si>
  <si>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</si>
  <si>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</si>
  <si>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</si>
  <si>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</si>
  <si>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</si>
  <si>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</si>
  <si>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</si>
  <si>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</si>
  <si>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</si>
  <si>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</si>
  <si>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</si>
  <si>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</si>
  <si>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</si>
  <si>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</si>
  <si>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</si>
  <si>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</si>
  <si>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</si>
  <si>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</si>
  <si>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</si>
  <si>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</si>
  <si>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</si>
  <si>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</si>
  <si>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</si>
  <si>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</si>
  <si>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</si>
  <si>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</si>
  <si>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</si>
  <si>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</si>
  <si>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</si>
  <si>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</si>
  <si>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</si>
  <si>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</si>
  <si>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</si>
  <si>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</si>
  <si>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</si>
  <si>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</si>
  <si>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</si>
  <si>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</si>
  <si>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</si>
  <si>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</si>
  <si>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</si>
  <si>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</si>
  <si>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</si>
  <si>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</si>
  <si>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</si>
  <si>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</si>
  <si>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</si>
  <si>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</si>
  <si>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</si>
  <si>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</si>
  <si>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</si>
  <si>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</si>
  <si>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</si>
  <si>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</si>
  <si>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</si>
  <si>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</si>
  <si>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</si>
  <si>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</si>
  <si>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</si>
  <si>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</si>
  <si>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</si>
  <si>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</si>
  <si>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</si>
  <si>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</si>
  <si>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</si>
  <si>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</si>
  <si>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</si>
  <si>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</si>
  <si>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</si>
  <si>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</si>
  <si>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</si>
  <si>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</si>
  <si>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</si>
  <si>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</si>
  <si>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</si>
  <si>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</si>
  <si>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</si>
  <si>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</si>
  <si>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</si>
  <si>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</si>
  <si>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</si>
  <si>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</si>
  <si>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</si>
  <si>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</si>
  <si>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</si>
  <si>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</si>
  <si>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</si>
  <si>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</si>
  <si>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</si>
  <si>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</si>
  <si>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</si>
  <si>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</si>
  <si>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</si>
  <si>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</si>
  <si>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</si>
  <si>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</si>
  <si>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</si>
  <si>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</si>
  <si>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</si>
  <si>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</si>
  <si>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</si>
  <si>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</si>
  <si>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</si>
  <si>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</si>
  <si>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</si>
  <si>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</si>
  <si>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</si>
  <si>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</si>
  <si>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</si>
  <si>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</si>
  <si>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</si>
  <si>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</si>
  <si>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</si>
  <si>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</si>
  <si>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</si>
  <si>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</si>
  <si>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</si>
  <si>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</si>
  <si>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</si>
  <si>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</si>
  <si>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</si>
  <si>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</si>
  <si>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</si>
  <si>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</si>
  <si>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</si>
  <si>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</si>
  <si>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</si>
  <si>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</si>
  <si>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</si>
  <si>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</si>
  <si>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</si>
  <si>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</si>
  <si>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</si>
  <si>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</si>
  <si>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</si>
  <si>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</si>
  <si>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</si>
  <si>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</si>
  <si>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</si>
  <si>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</si>
  <si>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</si>
  <si>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</si>
  <si>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</si>
  <si>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</si>
  <si>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</si>
  <si>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</si>
  <si>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</si>
  <si>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</si>
  <si>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</si>
  <si>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</si>
  <si>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</si>
  <si>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</si>
  <si>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</si>
  <si>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</si>
  <si>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</si>
  <si>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</si>
  <si>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</si>
  <si>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</si>
  <si>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</si>
  <si>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</si>
  <si>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</si>
  <si>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</si>
  <si>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</si>
  <si>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</si>
  <si>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</si>
  <si>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</si>
  <si>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</si>
  <si>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</si>
  <si>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</si>
  <si>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</si>
  <si>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</si>
  <si>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</si>
  <si>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</si>
  <si>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</si>
  <si>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</si>
  <si>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</si>
  <si>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</si>
  <si>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</si>
  <si>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</si>
  <si>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</si>
  <si>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</si>
  <si>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</si>
  <si>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</si>
  <si>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</si>
  <si>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</si>
  <si>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</si>
  <si>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</si>
  <si>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</si>
  <si>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</si>
  <si>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</si>
  <si>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</si>
  <si>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</si>
  <si>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</si>
  <si>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</si>
  <si>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</si>
  <si>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</si>
  <si>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</si>
  <si>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</si>
  <si>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</si>
  <si>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</si>
  <si>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</si>
  <si>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</si>
  <si>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</si>
  <si>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</si>
  <si>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</si>
  <si>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</si>
  <si>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</si>
  <si>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</si>
  <si>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</si>
  <si>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</si>
  <si>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</si>
  <si>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</si>
  <si>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</si>
  <si>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</si>
  <si>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</si>
  <si>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</si>
  <si>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</si>
  <si>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</si>
  <si>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</si>
  <si>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</si>
  <si>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</si>
  <si>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</si>
  <si>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</si>
  <si>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</si>
  <si>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</si>
  <si>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</si>
  <si>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</si>
  <si>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</si>
  <si>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</si>
  <si>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</si>
  <si>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</si>
  <si>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</si>
  <si>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</si>
  <si>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</si>
  <si>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</si>
  <si>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</si>
  <si>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</si>
  <si>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</si>
  <si>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</si>
  <si>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</si>
  <si>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</si>
  <si>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</si>
  <si>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</si>
  <si>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</si>
  <si>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</si>
  <si>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</si>
  <si>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</si>
  <si>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</si>
  <si>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</si>
  <si>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</si>
  <si>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</si>
  <si>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</si>
  <si>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</si>
  <si>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</si>
  <si>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</si>
  <si>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</si>
  <si>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</si>
  <si>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</si>
  <si>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</si>
  <si>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</si>
  <si>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</si>
  <si>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</si>
  <si>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</si>
  <si>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</si>
  <si>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</si>
  <si>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</si>
  <si>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</si>
  <si>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</si>
  <si>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</si>
  <si>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</si>
  <si>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</si>
  <si>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</si>
  <si>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</si>
  <si>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</si>
  <si>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</si>
  <si>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</si>
  <si>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</si>
  <si>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</si>
  <si>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</si>
  <si>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</si>
  <si>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</si>
  <si>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</si>
  <si>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</si>
  <si>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</si>
  <si>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</si>
  <si>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</si>
  <si>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</si>
  <si>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</si>
  <si>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</si>
  <si>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</si>
  <si>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</si>
  <si>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</si>
  <si>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</si>
  <si>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</si>
  <si>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</si>
  <si>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</si>
  <si>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</si>
  <si>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</si>
  <si>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</si>
  <si>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</si>
  <si>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</si>
  <si>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</si>
  <si>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</si>
  <si>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</si>
  <si>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</si>
  <si>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</si>
  <si>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</si>
  <si>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</si>
  <si>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</si>
  <si>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</si>
  <si>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</si>
  <si>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</si>
  <si>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</si>
  <si>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</si>
  <si>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</si>
  <si>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</si>
  <si>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</si>
  <si>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</si>
  <si>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</si>
  <si>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</si>
  <si>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</si>
  <si>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</si>
  <si>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</si>
  <si>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</si>
  <si>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</si>
  <si>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</si>
  <si>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</si>
  <si>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</si>
  <si>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</si>
  <si>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</si>
  <si>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</si>
  <si>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</si>
  <si>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</si>
  <si>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</si>
  <si>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</si>
  <si>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</si>
  <si>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</si>
  <si>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</si>
  <si>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</si>
  <si>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</si>
  <si>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</si>
  <si>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</si>
  <si>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</si>
  <si>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</si>
  <si>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</si>
  <si>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</si>
  <si>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</si>
  <si>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</si>
  <si>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</si>
  <si>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</si>
  <si>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</si>
  <si>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</si>
  <si>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</si>
  <si>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</si>
  <si>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</si>
  <si>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</si>
  <si>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</si>
  <si>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</si>
  <si>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</si>
  <si>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</si>
  <si>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</si>
  <si>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</si>
  <si>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</si>
  <si>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</si>
  <si>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</si>
  <si>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</si>
  <si>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</si>
  <si>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</si>
  <si>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</si>
  <si>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</si>
  <si>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</si>
  <si>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</si>
  <si>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</si>
  <si>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</si>
  <si>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</si>
  <si>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</si>
  <si>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</si>
  <si>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</si>
  <si>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</si>
  <si>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</si>
  <si>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</si>
  <si>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</si>
  <si>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</si>
  <si>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</si>
  <si>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</si>
  <si>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</si>
  <si>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</si>
  <si>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</si>
  <si>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</si>
  <si>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</si>
  <si>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</si>
  <si>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</si>
  <si>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</si>
  <si>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</si>
  <si>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</si>
  <si>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</si>
  <si>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</si>
  <si>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</si>
  <si>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</si>
  <si>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</si>
  <si>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</si>
  <si>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</si>
  <si>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</si>
  <si>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</si>
  <si>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</si>
  <si>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</si>
  <si>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</si>
  <si>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</si>
  <si>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</si>
  <si>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</si>
  <si>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</si>
  <si>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</si>
  <si>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</si>
  <si>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</si>
  <si>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</si>
  <si>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</si>
  <si>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</si>
  <si>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</si>
  <si>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</si>
  <si>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</si>
  <si>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</si>
  <si>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</si>
  <si>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</si>
  <si>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</si>
  <si>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</si>
  <si>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</si>
  <si>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</si>
  <si>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</si>
  <si>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</si>
  <si>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</si>
  <si>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</si>
  <si>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</si>
  <si>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</si>
  <si>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</si>
  <si>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</si>
  <si>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</si>
  <si>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</si>
  <si>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</si>
  <si>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</si>
  <si>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</si>
  <si>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</si>
  <si>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</si>
  <si>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</si>
  <si>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</si>
  <si>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</si>
  <si>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</si>
  <si>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</si>
  <si>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</si>
  <si>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</si>
  <si>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</si>
  <si>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</si>
  <si>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</si>
  <si>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</si>
  <si>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</si>
  <si>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</si>
  <si>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</si>
  <si>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</si>
  <si>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</si>
  <si>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</si>
  <si>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</si>
  <si>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</si>
  <si>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</si>
  <si>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</si>
  <si>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</si>
  <si>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</si>
  <si>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</si>
  <si>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</si>
  <si>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</si>
  <si>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</si>
  <si>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</si>
  <si>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</si>
  <si>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</si>
  <si>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</si>
  <si>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</si>
  <si>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</si>
  <si>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</si>
  <si>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</si>
  <si>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</si>
  <si>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</si>
  <si>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</si>
  <si>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</si>
  <si>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</si>
  <si>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</si>
  <si>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</si>
  <si>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</si>
  <si>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</si>
  <si>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</si>
  <si>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</si>
  <si>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</si>
  <si>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</si>
  <si>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</si>
  <si>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</si>
  <si>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</si>
  <si>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</si>
  <si>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</si>
  <si>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</si>
  <si>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</si>
  <si>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</si>
  <si>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</si>
  <si>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</si>
  <si>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</si>
  <si>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</si>
  <si>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</si>
  <si>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</si>
  <si>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</si>
  <si>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</si>
  <si>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</si>
  <si>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</si>
  <si>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</si>
  <si>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</si>
  <si>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</si>
  <si>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</si>
  <si>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</si>
  <si>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</si>
  <si>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</si>
  <si>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</si>
  <si>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</si>
  <si>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</si>
  <si>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</si>
  <si>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</si>
  <si>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</si>
  <si>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</si>
  <si>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</si>
  <si>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</si>
  <si>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</si>
  <si>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</si>
  <si>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</si>
  <si>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</si>
  <si>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</si>
  <si>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</si>
  <si>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</si>
  <si>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</si>
  <si>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</si>
  <si>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</si>
  <si>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</si>
  <si>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</si>
  <si>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</si>
  <si>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</si>
  <si>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</si>
  <si>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</si>
  <si>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</si>
  <si>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</si>
  <si>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</si>
  <si>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</si>
  <si>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</si>
  <si>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</si>
  <si>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</si>
  <si>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</si>
  <si>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</si>
  <si>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</si>
  <si>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</si>
  <si>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</si>
  <si>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</si>
  <si>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</si>
  <si>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</si>
  <si>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</si>
  <si>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</si>
  <si>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</si>
  <si>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</si>
  <si>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</si>
  <si>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</si>
  <si>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</si>
  <si>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</si>
  <si>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</si>
  <si>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</si>
  <si>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</si>
  <si>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</si>
  <si>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</si>
  <si>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</si>
  <si>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</si>
  <si>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</si>
  <si>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</si>
  <si>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</si>
  <si>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</si>
  <si>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</si>
  <si>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</si>
  <si>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</si>
  <si>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</si>
  <si>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</si>
  <si>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</si>
  <si>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</si>
  <si>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</si>
  <si>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</si>
  <si>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</si>
  <si>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</si>
  <si>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</si>
  <si>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</si>
  <si>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</si>
  <si>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</si>
  <si>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</si>
  <si>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</si>
  <si>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</si>
  <si>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</si>
  <si>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</si>
  <si>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</si>
  <si>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</si>
  <si>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</si>
  <si>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</si>
  <si>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</si>
  <si>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</si>
  <si>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</si>
  <si>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</si>
  <si>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</si>
  <si>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</si>
  <si>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</si>
  <si>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</si>
  <si>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</si>
  <si>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</si>
  <si>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</si>
  <si>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</si>
  <si>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</si>
  <si>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</si>
  <si>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</si>
  <si>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</si>
  <si>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</si>
  <si>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</si>
  <si>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</si>
  <si>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</si>
  <si>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</si>
  <si>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</si>
  <si>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</si>
  <si>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</si>
  <si>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</si>
  <si>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</si>
  <si>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</si>
  <si>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</si>
  <si>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</si>
  <si>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</si>
  <si>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</si>
  <si>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</si>
  <si>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</si>
  <si>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</si>
  <si>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</si>
  <si>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</si>
  <si>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</si>
  <si>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</si>
  <si>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</si>
  <si>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</si>
  <si>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</si>
  <si>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</si>
  <si>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</si>
  <si>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</si>
  <si>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</si>
  <si>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</si>
  <si>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</si>
  <si>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</si>
  <si>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</si>
  <si>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</si>
  <si>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</si>
  <si>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</si>
  <si>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</si>
  <si>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</si>
  <si>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</si>
  <si>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</si>
  <si>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</si>
  <si>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</si>
  <si>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</si>
  <si>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</si>
  <si>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</si>
  <si>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</si>
  <si>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</si>
  <si>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</si>
  <si>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</si>
  <si>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</si>
  <si>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</si>
  <si>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</si>
  <si>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</si>
  <si>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</si>
  <si>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</si>
  <si>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</si>
  <si>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</si>
  <si>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</si>
  <si>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</si>
  <si>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</si>
  <si>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</si>
  <si>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</si>
  <si>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</si>
  <si>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</si>
  <si>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</si>
  <si>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</si>
  <si>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</si>
  <si>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</si>
  <si>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</si>
  <si>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</si>
  <si>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</si>
  <si>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</si>
  <si>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</si>
  <si>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</si>
  <si>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</si>
  <si>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</si>
  <si>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</si>
  <si>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</si>
  <si>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</si>
  <si>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</si>
  <si>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</si>
  <si>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</si>
  <si>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</si>
  <si>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</si>
  <si>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</si>
  <si>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</si>
  <si>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</si>
  <si>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</si>
  <si>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</si>
  <si>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</si>
  <si>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</si>
  <si>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</si>
  <si>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</si>
  <si>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</si>
  <si>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</si>
  <si>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</si>
  <si>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</si>
  <si>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</si>
  <si>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</si>
  <si>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</si>
  <si>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</si>
  <si>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</si>
  <si>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</si>
  <si>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</si>
  <si>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</si>
  <si>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</si>
  <si>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</si>
  <si>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</si>
  <si>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</si>
  <si>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</si>
  <si>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</si>
  <si>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</si>
  <si>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</si>
  <si>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</si>
  <si>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</si>
  <si>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</si>
  <si>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</si>
  <si>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</si>
  <si>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</si>
  <si>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</si>
  <si>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</si>
  <si>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</si>
  <si>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</si>
  <si>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</si>
  <si>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</si>
  <si>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</si>
  <si>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</si>
  <si>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</si>
  <si>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</si>
  <si>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</si>
  <si>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</si>
  <si>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</si>
  <si>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</si>
  <si>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</si>
  <si>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</si>
  <si>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</si>
  <si>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</si>
  <si>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</si>
  <si>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</si>
  <si>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</si>
  <si>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</si>
  <si>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</si>
  <si>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</si>
  <si>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</si>
  <si>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</si>
  <si>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</si>
  <si>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</si>
  <si>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</si>
  <si>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</si>
  <si>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</si>
  <si>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</si>
  <si>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</si>
  <si>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</si>
  <si>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</si>
  <si>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</si>
  <si>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</si>
  <si>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</si>
  <si>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</si>
  <si>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</si>
  <si>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</si>
  <si>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</si>
  <si>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</si>
  <si>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</si>
  <si>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</si>
  <si>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</si>
  <si>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</si>
  <si>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</si>
  <si>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</si>
  <si>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</si>
  <si>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</si>
  <si>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</si>
  <si>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</si>
  <si>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</si>
  <si>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</si>
  <si>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</si>
  <si>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</si>
  <si>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</si>
  <si>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</si>
  <si>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</si>
  <si>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</si>
  <si>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</si>
  <si>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</si>
  <si>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</si>
  <si>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</si>
  <si>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</si>
  <si>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</si>
  <si>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</si>
  <si>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</si>
  <si>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</si>
  <si>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</si>
  <si>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</si>
  <si>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</si>
  <si>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</si>
  <si>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</si>
  <si>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</si>
  <si>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</si>
  <si>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</si>
  <si>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</si>
  <si>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</si>
  <si>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</si>
  <si>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</si>
  <si>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</si>
  <si>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</si>
  <si>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</si>
  <si>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</si>
  <si>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</si>
  <si>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</si>
  <si>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</si>
  <si>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</si>
  <si>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</si>
  <si>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</si>
  <si>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</si>
  <si>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</si>
  <si>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</si>
  <si>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</si>
  <si>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</si>
  <si>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</si>
  <si>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</si>
  <si>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</si>
  <si>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</si>
  <si>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</si>
  <si>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</si>
  <si>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</si>
  <si>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</si>
  <si>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</si>
  <si>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</si>
  <si>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</si>
  <si>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</si>
  <si>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</si>
  <si>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</si>
  <si>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</si>
  <si>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</si>
  <si>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</si>
  <si>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</si>
  <si>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</si>
  <si>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</si>
  <si>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</si>
  <si>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</si>
  <si>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</si>
  <si>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</si>
  <si>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</si>
  <si>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</si>
  <si>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</si>
  <si>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</si>
  <si>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</si>
  <si>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</si>
  <si>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</si>
  <si>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</si>
  <si>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</si>
  <si>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</si>
  <si>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</si>
  <si>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</si>
  <si>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</si>
  <si>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</si>
  <si>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</si>
  <si>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</si>
  <si>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</si>
  <si>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</si>
  <si>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</si>
  <si>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</si>
  <si>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</si>
  <si>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</si>
  <si>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</si>
  <si>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</si>
  <si>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</si>
  <si>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</si>
  <si>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</si>
  <si>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</si>
  <si>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</si>
  <si>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</si>
  <si>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</si>
  <si>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</si>
  <si>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</si>
  <si>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</si>
  <si>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</si>
  <si>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</si>
  <si>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</si>
  <si>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</si>
  <si>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</si>
  <si>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</si>
  <si>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</si>
  <si>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</si>
  <si>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</si>
  <si>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</si>
  <si>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</si>
  <si>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</si>
  <si>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</si>
  <si>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</si>
  <si>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</si>
  <si>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</si>
  <si>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</si>
  <si>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</si>
  <si>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</si>
  <si>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</si>
  <si>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</si>
  <si>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</si>
  <si>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</si>
  <si>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</si>
  <si>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</si>
  <si>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</si>
  <si>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</si>
  <si>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</si>
  <si>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</si>
  <si>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</si>
  <si>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</si>
  <si>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</si>
  <si>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</si>
  <si>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</si>
  <si>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</si>
  <si>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</si>
  <si>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</si>
  <si>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</si>
  <si>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</si>
  <si>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</si>
  <si>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</si>
  <si>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</si>
  <si>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</si>
  <si>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</si>
  <si>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</si>
  <si>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</si>
  <si>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</si>
  <si>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</si>
  <si>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</si>
  <si>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</si>
  <si>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</si>
  <si>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</si>
  <si>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</si>
  <si>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</si>
  <si>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</si>
  <si>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</si>
  <si>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</si>
  <si>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</si>
  <si>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</si>
  <si>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</si>
  <si>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</si>
  <si>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</si>
  <si>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</si>
  <si>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</si>
  <si>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</si>
  <si>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</si>
  <si>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</si>
  <si>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</si>
  <si>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</si>
  <si>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</si>
  <si>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</si>
  <si>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</si>
  <si>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</si>
  <si>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</si>
  <si>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</si>
  <si>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</si>
  <si>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</si>
  <si>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</si>
  <si>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</si>
  <si>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</si>
  <si>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</si>
  <si>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</si>
  <si>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</si>
  <si>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</si>
  <si>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</si>
  <si>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</si>
  <si>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</si>
  <si>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</si>
  <si>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</si>
  <si>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</si>
  <si>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</si>
  <si>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</si>
  <si>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</si>
  <si>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</si>
  <si>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</si>
  <si>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</si>
  <si>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</si>
  <si>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</si>
  <si>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</si>
  <si>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</si>
  <si>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</si>
  <si>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</si>
  <si>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</si>
  <si>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</si>
  <si>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</si>
  <si>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</si>
  <si>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</si>
  <si>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</si>
  <si>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</si>
  <si>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</si>
  <si>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</si>
  <si>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</si>
  <si>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</si>
  <si>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</si>
  <si>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</si>
  <si>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</si>
  <si>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</si>
  <si>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</si>
  <si>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</si>
  <si>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</si>
  <si>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</si>
  <si>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</si>
  <si>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</si>
  <si>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</si>
  <si>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</si>
  <si>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</si>
  <si>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</si>
  <si>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</si>
  <si>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</si>
  <si>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</si>
  <si>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</si>
  <si>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</si>
  <si>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</si>
  <si>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</si>
  <si>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</si>
  <si>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</si>
  <si>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</si>
  <si>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</si>
  <si>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</si>
  <si>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</si>
  <si>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</si>
  <si>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</si>
  <si>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</si>
  <si>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</si>
  <si>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</si>
  <si>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</si>
  <si>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</si>
  <si>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</si>
  <si>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</si>
  <si>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</si>
  <si>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</si>
  <si>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</si>
  <si>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</si>
  <si>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</si>
  <si>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</si>
  <si>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</si>
  <si>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</si>
  <si>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</si>
  <si>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</si>
  <si>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</si>
  <si>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</si>
  <si>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</si>
  <si>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</si>
  <si>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</si>
  <si>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</si>
  <si>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</si>
  <si>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</si>
  <si>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</si>
  <si>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</si>
  <si>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</si>
  <si>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</si>
  <si>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</si>
  <si>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</si>
  <si>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</si>
  <si>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</si>
  <si>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</si>
  <si>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</si>
  <si>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</si>
  <si>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</si>
  <si>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</si>
  <si>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</si>
  <si>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</si>
  <si>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</si>
  <si>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</si>
  <si>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</si>
  <si>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</si>
  <si>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</si>
  <si>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</si>
  <si>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</si>
  <si>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</si>
  <si>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</si>
  <si>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</si>
  <si>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</si>
  <si>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</si>
  <si>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</si>
  <si>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</si>
  <si>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</si>
  <si>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</si>
  <si>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</si>
  <si>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</si>
  <si>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</si>
  <si>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</si>
  <si>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</si>
  <si>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</si>
  <si>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</si>
  <si>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</si>
  <si>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</si>
  <si>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</si>
  <si>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</si>
  <si>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</si>
  <si>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</si>
  <si>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</si>
  <si>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</si>
  <si>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</si>
  <si>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</si>
  <si>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</si>
  <si>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</si>
  <si>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</si>
  <si>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</si>
  <si>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</si>
  <si>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</si>
  <si>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</si>
  <si>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</si>
  <si>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</si>
  <si>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</si>
  <si>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</si>
  <si>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</si>
  <si>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</si>
  <si>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</si>
  <si>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</si>
  <si>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</si>
  <si>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</si>
  <si>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</si>
  <si>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</si>
  <si>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</si>
  <si>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</si>
  <si>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</si>
  <si>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</si>
  <si>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</si>
  <si>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</si>
  <si>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</si>
  <si>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</si>
  <si>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</si>
  <si>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</si>
  <si>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</si>
  <si>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</si>
  <si>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</si>
  <si>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</si>
  <si>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</si>
  <si>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</si>
  <si>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</si>
  <si>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</si>
  <si>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</si>
  <si>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</si>
  <si>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</si>
  <si>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</si>
  <si>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</si>
  <si>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</si>
  <si>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</si>
  <si>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</si>
  <si>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</si>
  <si>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</si>
  <si>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</si>
  <si>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</si>
  <si>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</si>
  <si>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</si>
  <si>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</si>
  <si>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</si>
  <si>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</si>
  <si>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</si>
  <si>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</si>
  <si>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</si>
  <si>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</si>
  <si>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</si>
  <si>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</si>
  <si>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</si>
  <si>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</si>
  <si>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</si>
  <si>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</si>
  <si>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</si>
  <si>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</si>
  <si>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</si>
  <si>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</si>
  <si>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</si>
  <si>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</si>
  <si>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</si>
  <si>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</si>
  <si>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</si>
  <si>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</si>
  <si>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</si>
  <si>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</si>
  <si>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</si>
  <si>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</si>
  <si>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</si>
  <si>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</si>
  <si>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</si>
  <si>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</si>
  <si>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</si>
  <si>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</si>
  <si>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</si>
  <si>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</si>
  <si>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</si>
  <si>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</si>
  <si>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</si>
  <si>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</si>
  <si>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</si>
  <si>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</si>
  <si>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</si>
  <si>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</si>
  <si>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</si>
  <si>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</si>
  <si>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</si>
  <si>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</si>
  <si>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</si>
  <si>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</si>
  <si>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</si>
  <si>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</si>
  <si>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</si>
  <si>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</si>
  <si>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</si>
  <si>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</si>
  <si>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</si>
  <si>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</si>
  <si>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</si>
  <si>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</si>
  <si>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</si>
  <si>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</si>
  <si>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</si>
  <si>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</si>
  <si>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</si>
  <si>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</si>
  <si>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</si>
  <si>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</si>
  <si>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</si>
  <si>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</si>
  <si>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</si>
  <si>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</si>
  <si>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</si>
  <si>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</si>
  <si>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</si>
  <si>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</si>
  <si>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</si>
  <si>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</si>
  <si>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</si>
  <si>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</si>
  <si>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</si>
  <si>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</si>
  <si>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</si>
  <si>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</si>
  <si>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</si>
  <si>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</si>
  <si>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</si>
  <si>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</si>
  <si>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</si>
  <si>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</si>
  <si>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</si>
  <si>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</si>
  <si>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</si>
  <si>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</si>
  <si>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</si>
  <si>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</si>
  <si>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</si>
  <si>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</si>
  <si>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</si>
  <si>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</si>
  <si>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</si>
  <si>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</si>
  <si>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</si>
  <si>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</si>
  <si>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</si>
  <si>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</si>
  <si>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</si>
  <si>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</si>
  <si>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</si>
  <si>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</si>
  <si>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</si>
  <si>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</si>
  <si>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</si>
  <si>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</si>
  <si>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</si>
  <si>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</si>
  <si>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</si>
  <si>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</si>
  <si>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</si>
  <si>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</si>
  <si>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</si>
  <si>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</si>
  <si>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</si>
  <si>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</si>
  <si>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</si>
  <si>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</si>
  <si>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</si>
  <si>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</si>
  <si>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</si>
  <si>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</si>
  <si>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</si>
  <si>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</si>
  <si>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</si>
  <si>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</si>
  <si>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</si>
  <si>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</si>
  <si>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</si>
  <si>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</si>
  <si>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</si>
  <si>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</si>
  <si>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</si>
  <si>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</si>
  <si>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</si>
  <si>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</si>
  <si>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</si>
  <si>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</si>
  <si>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</si>
  <si>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</si>
  <si>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</si>
  <si>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</si>
  <si>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</si>
  <si>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</si>
  <si>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</si>
  <si>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</si>
  <si>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</si>
  <si>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</si>
  <si>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</si>
  <si>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</si>
  <si>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</si>
  <si>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</si>
  <si>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</si>
  <si>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</si>
  <si>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</si>
  <si>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</si>
  <si>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</si>
  <si>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</si>
  <si>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</si>
  <si>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</si>
  <si>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</si>
  <si>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</si>
  <si>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</si>
  <si>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</si>
  <si>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</si>
  <si>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</si>
  <si>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</si>
  <si>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</si>
  <si>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</si>
  <si>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</si>
  <si>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</si>
  <si>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</si>
  <si>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</si>
  <si>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</si>
  <si>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</si>
  <si>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</si>
  <si>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</si>
  <si>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</si>
  <si>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</si>
  <si>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</si>
  <si>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</si>
  <si>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</si>
  <si>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</si>
  <si>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</si>
  <si>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</si>
  <si>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</si>
  <si>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</si>
  <si>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</si>
  <si>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</si>
  <si>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</si>
  <si>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</si>
  <si>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</si>
  <si>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</si>
  <si>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</si>
  <si>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</si>
  <si>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</si>
  <si>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</si>
  <si>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</si>
  <si>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</si>
  <si>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</si>
  <si>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</si>
  <si>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</si>
  <si>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</si>
  <si>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</si>
  <si>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</si>
  <si>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</si>
  <si>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</si>
  <si>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</si>
  <si>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</si>
  <si>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</si>
  <si>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</si>
  <si>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</si>
  <si>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</si>
  <si>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</si>
  <si>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</si>
  <si>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</si>
  <si>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</si>
  <si>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</si>
  <si>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</si>
  <si>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</si>
  <si>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</si>
  <si>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</si>
  <si>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</si>
  <si>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</si>
  <si>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</si>
  <si>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</si>
  <si>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</si>
  <si>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</si>
  <si>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</si>
  <si>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</si>
  <si>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</si>
  <si>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</si>
  <si>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</si>
  <si>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</si>
  <si>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</si>
  <si>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</si>
  <si>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</si>
  <si>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</si>
  <si>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</si>
  <si>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</si>
  <si>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</si>
  <si>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</si>
  <si>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</si>
  <si>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</si>
  <si>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</si>
  <si>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</si>
  <si>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</si>
  <si>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</si>
  <si>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</si>
  <si>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</si>
  <si>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</si>
  <si>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</si>
  <si>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</si>
  <si>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</si>
  <si>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</si>
  <si>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</si>
  <si>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</si>
  <si>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</si>
  <si>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</si>
  <si>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</si>
  <si>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</si>
  <si>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</si>
  <si>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</si>
  <si>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</si>
  <si>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</si>
  <si>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</si>
  <si>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</si>
  <si>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</si>
  <si>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</si>
  <si>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</si>
  <si>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</si>
  <si>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</si>
  <si>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</si>
  <si>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</si>
  <si>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</si>
  <si>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</si>
  <si>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</si>
  <si>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</si>
  <si>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</si>
  <si>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</si>
  <si>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</si>
  <si>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</si>
  <si>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</si>
  <si>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</si>
  <si>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</si>
  <si>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</si>
  <si>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</si>
  <si>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</si>
  <si>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</si>
  <si>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</si>
  <si>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</si>
  <si>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</si>
  <si>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</si>
  <si>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</si>
  <si>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</si>
  <si>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</si>
  <si>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</si>
  <si>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</si>
  <si>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</si>
  <si>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</si>
  <si>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</si>
  <si>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</si>
  <si>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</si>
  <si>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</si>
  <si>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</si>
  <si>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</si>
  <si>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</si>
  <si>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</si>
  <si>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</si>
  <si>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</si>
  <si>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</si>
  <si>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</si>
  <si>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</si>
  <si>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</si>
  <si>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</si>
  <si>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</si>
  <si>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</si>
  <si>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</si>
  <si>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</si>
  <si>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</si>
  <si>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</si>
  <si>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</si>
  <si>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</si>
  <si>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</si>
  <si>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</si>
  <si>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</si>
  <si>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</si>
  <si>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</si>
  <si>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</si>
  <si>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</si>
  <si>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</si>
  <si>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</si>
  <si>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</si>
  <si>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</si>
  <si>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</si>
  <si>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</si>
  <si>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</si>
  <si>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</si>
  <si>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</si>
  <si>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</si>
  <si>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</si>
  <si>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</si>
  <si>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</si>
  <si>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</si>
  <si>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</si>
  <si>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</si>
  <si>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</si>
  <si>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</si>
  <si>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</si>
  <si>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</si>
  <si>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</si>
  <si>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</si>
  <si>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</si>
  <si>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</si>
  <si>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</si>
  <si>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</si>
  <si>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</si>
  <si>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</si>
  <si>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</si>
  <si>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</si>
  <si>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</si>
  <si>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</si>
  <si>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</si>
  <si>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</si>
  <si>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</si>
  <si>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</si>
  <si>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</si>
  <si>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</si>
  <si>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</si>
  <si>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</si>
  <si>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</si>
  <si>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</si>
  <si>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</si>
  <si>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</si>
  <si>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</si>
  <si>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</si>
  <si>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</si>
  <si>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</si>
  <si>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</si>
  <si>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</si>
  <si>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</si>
  <si>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</si>
  <si>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</si>
  <si>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</si>
  <si>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</si>
  <si>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</si>
  <si>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</si>
  <si>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</si>
  <si>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</si>
  <si>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</si>
  <si>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</si>
  <si>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</si>
  <si>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</si>
  <si>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</si>
  <si>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</si>
  <si>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</si>
  <si>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</si>
  <si>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</si>
  <si>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</si>
  <si>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</si>
  <si>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</si>
  <si>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</si>
  <si>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</si>
  <si>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</si>
  <si>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</si>
  <si>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</si>
  <si>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</si>
  <si>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</si>
  <si>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</si>
  <si>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</si>
  <si>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</si>
  <si>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</si>
  <si>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</si>
  <si>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</si>
  <si>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</si>
  <si>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</si>
  <si>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</si>
  <si>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</si>
  <si>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</si>
  <si>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</si>
  <si>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</si>
  <si>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</si>
  <si>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</si>
  <si>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</si>
  <si>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</si>
  <si>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</si>
  <si>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</si>
  <si>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</si>
  <si>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</si>
  <si>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</si>
  <si>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</si>
  <si>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</si>
  <si>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</si>
  <si>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</si>
  <si>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</si>
  <si>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</si>
  <si>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</si>
  <si>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</si>
  <si>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</si>
  <si>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</si>
  <si>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</si>
  <si>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</si>
  <si>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</si>
  <si>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</si>
  <si>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</si>
  <si>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</si>
  <si>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</si>
  <si>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</si>
  <si>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</si>
  <si>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</si>
  <si>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</si>
  <si>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</si>
  <si>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</si>
  <si>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</si>
  <si>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</si>
  <si>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</si>
  <si>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</si>
  <si>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</si>
  <si>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</si>
  <si>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</si>
  <si>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</si>
  <si>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</si>
  <si>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</si>
  <si>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</si>
  <si>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</si>
  <si>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</si>
  <si>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</si>
  <si>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</si>
  <si>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</si>
  <si>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</si>
  <si>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</si>
  <si>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</si>
  <si>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</si>
  <si>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</si>
  <si>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</si>
  <si>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</si>
  <si>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</si>
  <si>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</si>
  <si>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</si>
  <si>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</si>
  <si>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</si>
  <si>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</si>
  <si>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</si>
  <si>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</si>
  <si>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</si>
  <si>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</si>
  <si>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</si>
  <si>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</si>
  <si>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</si>
  <si>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</si>
  <si>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</si>
  <si>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</si>
  <si>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</si>
  <si>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</si>
  <si>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</si>
  <si>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</si>
  <si>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</si>
  <si>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</si>
  <si>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</si>
  <si>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</si>
  <si>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</si>
  <si>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</si>
  <si>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</si>
  <si>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</si>
  <si>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</si>
  <si>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</si>
  <si>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</si>
  <si>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</si>
  <si>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</si>
  <si>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</si>
  <si>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</si>
  <si>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</si>
  <si>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</si>
  <si>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</si>
  <si>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</si>
  <si>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</si>
  <si>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</si>
  <si>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</si>
  <si>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</si>
  <si>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</si>
  <si>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</si>
  <si>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</si>
  <si>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</si>
  <si>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</si>
  <si>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</si>
  <si>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</si>
  <si>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</si>
  <si>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</si>
  <si>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</si>
  <si>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</si>
  <si>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</si>
  <si>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</si>
  <si>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</si>
  <si>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</si>
  <si>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</si>
  <si>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</si>
  <si>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</si>
  <si>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</si>
  <si>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</si>
  <si>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</si>
  <si>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</si>
  <si>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</si>
  <si>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</si>
  <si>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</si>
  <si>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</si>
  <si>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</si>
  <si>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</si>
  <si>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</si>
  <si>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</si>
  <si>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</si>
  <si>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</si>
  <si>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</si>
  <si>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</si>
  <si>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</si>
  <si>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</si>
  <si>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</si>
  <si>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</si>
  <si>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</si>
  <si>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</si>
  <si>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</si>
  <si>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</si>
  <si>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</si>
  <si>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</si>
  <si>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</si>
  <si>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</si>
  <si>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</si>
  <si>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</si>
  <si>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</si>
  <si>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</si>
  <si>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</si>
  <si>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</si>
  <si>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</si>
  <si>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</si>
  <si>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</si>
  <si>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</si>
  <si>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</si>
  <si>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</si>
  <si>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</si>
  <si>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</si>
  <si>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</si>
  <si>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</si>
  <si>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</si>
  <si>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</si>
  <si>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</si>
  <si>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</si>
  <si>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</si>
  <si>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</si>
  <si>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</si>
  <si>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</si>
  <si>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</si>
  <si>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</si>
  <si>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</si>
  <si>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</si>
  <si>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</si>
  <si>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</si>
  <si>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</si>
  <si>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</si>
  <si>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</si>
  <si>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</si>
  <si>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</si>
  <si>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</si>
  <si>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</si>
  <si>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</si>
  <si>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</si>
  <si>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</si>
  <si>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</si>
  <si>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</si>
  <si>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</si>
  <si>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</si>
  <si>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</si>
  <si>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</si>
  <si>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</si>
  <si>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</si>
  <si>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</si>
  <si>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</si>
  <si>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</si>
  <si>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</si>
  <si>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</si>
  <si>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</si>
  <si>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</si>
  <si>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</si>
  <si>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</si>
  <si>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</si>
  <si>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</si>
  <si>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</si>
  <si>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</si>
  <si>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</si>
  <si>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</si>
  <si>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</si>
  <si>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</si>
  <si>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</si>
  <si>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</si>
  <si>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</si>
  <si>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</si>
  <si>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</si>
  <si>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</si>
  <si>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</si>
  <si>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</si>
  <si>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</si>
  <si>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</si>
  <si>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</si>
  <si>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</si>
  <si>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</si>
  <si>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</si>
  <si>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</si>
  <si>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</si>
  <si>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</si>
  <si>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</si>
  <si>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</si>
  <si>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</si>
  <si>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</si>
  <si>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</si>
  <si>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</si>
  <si>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</si>
  <si>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</si>
  <si>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</si>
  <si>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</si>
  <si>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</si>
  <si>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</si>
  <si>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</si>
  <si>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</si>
  <si>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</si>
  <si>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</si>
  <si>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</si>
  <si>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</si>
  <si>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</si>
  <si>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</si>
  <si>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</si>
  <si>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</si>
  <si>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</si>
  <si>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</si>
  <si>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</si>
  <si>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</si>
  <si>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</si>
  <si>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</si>
  <si>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</si>
  <si>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</si>
  <si>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</si>
  <si>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</si>
  <si>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</si>
  <si>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</si>
  <si>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</si>
  <si>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</si>
  <si>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</si>
  <si>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</si>
  <si>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</si>
  <si>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</si>
  <si>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</si>
  <si>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</si>
  <si>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</si>
  <si>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</si>
  <si>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</si>
  <si>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</si>
  <si>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</si>
  <si>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</si>
  <si>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</si>
  <si>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</si>
  <si>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</si>
  <si>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</si>
  <si>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</si>
  <si>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</si>
  <si>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</si>
  <si>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</si>
  <si>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</si>
  <si>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</si>
  <si>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</si>
  <si>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</si>
  <si>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</si>
  <si>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</si>
  <si>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</si>
  <si>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</si>
  <si>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</si>
  <si>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</si>
  <si>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</si>
  <si>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</si>
  <si>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</si>
  <si>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</si>
  <si>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</si>
  <si>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</si>
  <si>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</si>
  <si>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</si>
  <si>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</si>
  <si>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</si>
  <si>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</si>
  <si>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</si>
  <si>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</si>
  <si>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</si>
  <si>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</si>
  <si>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</si>
  <si>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</si>
  <si>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</si>
  <si>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</si>
  <si>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</si>
  <si>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</si>
  <si>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</si>
  <si>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</si>
  <si>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</si>
  <si>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</si>
  <si>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</si>
  <si>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</si>
  <si>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</si>
  <si>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</si>
  <si>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</si>
  <si>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</si>
  <si>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</si>
  <si>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</si>
  <si>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</si>
  <si>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</si>
  <si>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</si>
  <si>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</si>
  <si>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</si>
  <si>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</si>
  <si>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</si>
  <si>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</si>
  <si>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</si>
  <si>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</si>
  <si>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</si>
  <si>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</si>
  <si>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</si>
  <si>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</si>
  <si>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</si>
  <si>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</si>
  <si>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</si>
  <si>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</si>
  <si>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</si>
  <si>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</si>
  <si>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</si>
  <si>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</si>
  <si>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</si>
  <si>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</si>
  <si>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</si>
  <si>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</si>
  <si>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</si>
  <si>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</si>
  <si>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</si>
  <si>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</si>
  <si>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</si>
  <si>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</si>
  <si>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</si>
  <si>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</si>
  <si>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</si>
  <si>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</si>
  <si>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</si>
  <si>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</si>
  <si>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</si>
  <si>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</si>
  <si>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</si>
  <si>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</si>
  <si>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</si>
  <si>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</si>
  <si>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</si>
  <si>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</si>
  <si>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</si>
  <si>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</si>
  <si>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</si>
  <si>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</si>
  <si>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</si>
  <si>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</si>
  <si>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</si>
  <si>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</si>
  <si>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</si>
  <si>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</si>
  <si>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</si>
  <si>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</si>
  <si>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</si>
  <si>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</si>
  <si>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</si>
  <si>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</si>
  <si>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</si>
  <si>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</si>
  <si>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</si>
  <si>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</si>
  <si>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</si>
  <si>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</si>
  <si>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</si>
  <si>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</si>
  <si>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</si>
  <si>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</si>
  <si>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</si>
  <si>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</si>
  <si>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</si>
  <si>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</si>
  <si>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</si>
  <si>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</si>
  <si>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</si>
  <si>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</si>
  <si>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</si>
  <si>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</si>
  <si>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</si>
  <si>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</si>
  <si>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</si>
  <si>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</si>
  <si>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</si>
  <si>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</si>
  <si>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</si>
  <si>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</si>
  <si>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</si>
  <si>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</si>
  <si>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</si>
  <si>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</si>
  <si>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</si>
  <si>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</si>
  <si>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</si>
  <si>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</si>
  <si>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</si>
  <si>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</si>
  <si>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</si>
  <si>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</si>
  <si>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</si>
  <si>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</si>
  <si>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</si>
  <si>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</si>
  <si>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</si>
  <si>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</si>
  <si>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</si>
  <si>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</si>
  <si>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</si>
  <si>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</si>
  <si>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</si>
  <si>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</si>
  <si>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</si>
  <si>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</si>
  <si>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</si>
  <si>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</si>
  <si>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</si>
  <si>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</si>
  <si>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</si>
  <si>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</si>
  <si>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</si>
  <si>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</si>
  <si>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</si>
  <si>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</si>
  <si>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</si>
  <si>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</si>
  <si>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</si>
  <si>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</si>
  <si>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</si>
  <si>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</si>
  <si>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</si>
  <si>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</si>
  <si>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</si>
  <si>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</si>
  <si>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</si>
  <si>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</si>
  <si>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</si>
  <si>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</si>
  <si>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</si>
  <si>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</si>
  <si>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</si>
  <si>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</si>
  <si>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</si>
  <si>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</si>
  <si>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</si>
  <si>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</si>
  <si>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</si>
  <si>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</si>
  <si>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</si>
  <si>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</si>
  <si>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</si>
  <si>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</si>
  <si>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</si>
  <si>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</si>
  <si>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</si>
  <si>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</si>
  <si>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</si>
  <si>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</si>
  <si>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</si>
  <si>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</si>
  <si>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</si>
  <si>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</si>
  <si>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</si>
  <si>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</si>
  <si>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</si>
  <si>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</si>
  <si>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</si>
  <si>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</si>
  <si>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</si>
  <si>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</si>
  <si>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</si>
  <si>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</si>
  <si>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</si>
  <si>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</si>
  <si>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</si>
  <si>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</si>
  <si>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</si>
  <si>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</si>
  <si>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</si>
  <si>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</si>
  <si>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</si>
  <si>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</si>
  <si>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</si>
  <si>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</si>
  <si>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</si>
  <si>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</si>
  <si>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</si>
  <si>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</si>
  <si>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</si>
  <si>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</si>
  <si>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</si>
  <si>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</si>
  <si>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</si>
  <si>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</si>
  <si>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</si>
  <si>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</si>
  <si>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</si>
  <si>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</si>
  <si>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</si>
  <si>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</si>
  <si>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</si>
  <si>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</si>
  <si>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</si>
  <si>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</si>
  <si>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</si>
  <si>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</si>
  <si>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</si>
  <si>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</si>
  <si>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</si>
  <si>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</si>
  <si>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</si>
  <si>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</si>
  <si>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</si>
  <si>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</si>
  <si>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</si>
  <si>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</si>
  <si>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</si>
  <si>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</si>
  <si>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</si>
  <si>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</si>
  <si>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</si>
  <si>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</si>
  <si>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</si>
  <si>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</si>
  <si>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</si>
  <si>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</si>
  <si>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</si>
  <si>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</si>
  <si>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</si>
  <si>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</si>
  <si>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</si>
  <si>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</si>
  <si>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</si>
  <si>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</si>
  <si>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</si>
  <si>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</si>
  <si>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</si>
  <si>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</si>
  <si>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</si>
  <si>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</si>
  <si>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</si>
  <si>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</si>
  <si>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</si>
  <si>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</si>
  <si>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</si>
  <si>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</si>
  <si>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</si>
  <si>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</si>
  <si>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</si>
  <si>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</si>
  <si>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</si>
  <si>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</si>
  <si>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</si>
  <si>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</si>
  <si>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</si>
  <si>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</si>
  <si>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</si>
  <si>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</si>
  <si>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</si>
  <si>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</si>
  <si>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</si>
  <si>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</si>
  <si>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</si>
  <si>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</si>
  <si>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</si>
  <si>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</si>
  <si>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</si>
  <si>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</si>
  <si>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</si>
  <si>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</si>
  <si>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</si>
  <si>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</si>
  <si>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</si>
  <si>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</si>
  <si>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</si>
  <si>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</si>
  <si>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</si>
  <si>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</si>
  <si>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</si>
  <si>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</si>
  <si>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</si>
  <si>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</si>
  <si>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</si>
  <si>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</si>
  <si>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</si>
  <si>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</si>
  <si>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</si>
  <si>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</si>
  <si>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</si>
  <si>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</si>
  <si>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</si>
  <si>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</si>
  <si>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</si>
  <si>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</si>
  <si>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</si>
  <si>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</si>
  <si>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</si>
  <si>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</si>
  <si>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</si>
  <si>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</si>
  <si>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</si>
  <si>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</si>
  <si>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</si>
  <si>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</si>
  <si>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</si>
  <si>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</si>
  <si>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</si>
  <si>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</si>
  <si>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</si>
  <si>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</si>
  <si>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</si>
  <si>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</si>
  <si>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</si>
  <si>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</si>
  <si>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</si>
  <si>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</si>
  <si>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</si>
  <si>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</si>
  <si>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</si>
  <si>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</si>
  <si>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</si>
  <si>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</si>
  <si>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</si>
  <si>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</si>
  <si>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</si>
  <si>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</si>
  <si>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</si>
  <si>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</si>
  <si>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</si>
  <si>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</si>
  <si>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</si>
  <si>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</si>
  <si>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</si>
  <si>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</si>
  <si>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</si>
  <si>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</si>
  <si>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</si>
  <si>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</si>
  <si>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</si>
  <si>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</si>
  <si>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</si>
  <si>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</si>
  <si>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</si>
  <si>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</si>
  <si>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</si>
  <si>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</si>
  <si>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</si>
  <si>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</si>
  <si>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</si>
  <si>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</si>
  <si>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</si>
  <si>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</si>
  <si>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</si>
  <si>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</si>
  <si>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</si>
  <si>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</si>
  <si>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</si>
  <si>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</si>
  <si>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</si>
  <si>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</si>
  <si>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</si>
  <si>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</si>
  <si>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</si>
  <si>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</si>
  <si>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</si>
  <si>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</si>
  <si>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</si>
  <si>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</si>
  <si>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</si>
  <si>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</si>
  <si>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</si>
  <si>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</si>
  <si>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</si>
  <si>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</si>
  <si>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</si>
  <si>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</si>
  <si>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</si>
  <si>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</si>
  <si>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</si>
  <si>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</si>
  <si>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</si>
  <si>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</si>
  <si>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</si>
  <si>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</si>
  <si>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</si>
  <si>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</si>
  <si>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</si>
  <si>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</si>
  <si>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</si>
  <si>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</si>
  <si>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</si>
  <si>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</si>
  <si>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</si>
  <si>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</si>
  <si>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</si>
  <si>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</si>
  <si>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</si>
  <si>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</si>
  <si>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</si>
  <si>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</si>
  <si>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</si>
  <si>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</si>
  <si>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</si>
  <si>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</si>
  <si>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</si>
  <si>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</si>
  <si>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</si>
  <si>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</si>
  <si>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</si>
  <si>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</si>
  <si>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</si>
  <si>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</si>
  <si>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</si>
  <si>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</si>
  <si>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</si>
  <si>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</si>
  <si>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</si>
  <si>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</si>
  <si>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</si>
  <si>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</si>
  <si>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</si>
  <si>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</si>
  <si>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</si>
  <si>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</si>
  <si>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</si>
  <si>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</si>
  <si>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</si>
  <si>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</si>
  <si>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</si>
  <si>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</si>
  <si>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</si>
  <si>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</si>
  <si>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</si>
  <si>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</si>
  <si>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</si>
  <si>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</si>
  <si>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</si>
  <si>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</si>
  <si>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</si>
  <si>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</si>
  <si>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</si>
  <si>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</si>
  <si>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</si>
  <si>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</si>
  <si>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</si>
  <si>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</si>
  <si>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</si>
  <si>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</si>
  <si>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</si>
  <si>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</si>
  <si>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</si>
  <si>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</si>
  <si>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</si>
  <si>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</si>
  <si>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</si>
  <si>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</si>
  <si>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</si>
  <si>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</si>
  <si>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</si>
  <si>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</si>
  <si>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</si>
  <si>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</si>
  <si>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</si>
  <si>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</si>
  <si>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</si>
  <si>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</si>
  <si>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</si>
  <si>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</si>
  <si>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</si>
  <si>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</si>
  <si>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</si>
  <si>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</si>
  <si>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</si>
  <si>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</si>
  <si>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</si>
  <si>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</si>
  <si>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</si>
  <si>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</si>
  <si>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</si>
  <si>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</si>
  <si>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</si>
  <si>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</si>
  <si>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</si>
  <si>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</si>
  <si>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</si>
  <si>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</si>
  <si>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</si>
  <si>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</si>
  <si>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</si>
  <si>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</si>
  <si>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</si>
  <si>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</si>
  <si>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</si>
  <si>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</si>
  <si>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</si>
  <si>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</si>
  <si>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</si>
  <si>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</si>
  <si>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</si>
  <si>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</si>
  <si>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</si>
  <si>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</si>
  <si>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</si>
  <si>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</si>
  <si>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</si>
  <si>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</si>
  <si>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</si>
  <si>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</si>
  <si>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</si>
  <si>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</si>
  <si>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</si>
  <si>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</si>
  <si>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</si>
  <si>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</si>
  <si>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</si>
  <si>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</si>
  <si>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</si>
  <si>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</si>
  <si>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</si>
  <si>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</si>
  <si>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</si>
  <si>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</si>
  <si>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</si>
  <si>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</si>
  <si>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</si>
  <si>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</si>
  <si>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</si>
  <si>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</si>
  <si>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</si>
  <si>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</si>
  <si>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</si>
  <si>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</si>
  <si>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</si>
  <si>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</si>
  <si>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</si>
  <si>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</si>
  <si>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</si>
  <si>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</si>
  <si>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</si>
  <si>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</si>
  <si>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</si>
  <si>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</si>
  <si>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</si>
  <si>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</si>
  <si>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</si>
  <si>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</si>
  <si>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</si>
  <si>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</si>
  <si>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</si>
  <si>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</si>
  <si>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</si>
  <si>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</si>
  <si>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</si>
  <si>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</si>
  <si>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</si>
  <si>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</si>
  <si>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</si>
  <si>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</si>
  <si>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</si>
  <si>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</si>
  <si>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</si>
  <si>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</si>
  <si>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</si>
  <si>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</si>
  <si>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</si>
  <si>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</si>
  <si>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</si>
  <si>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</si>
  <si>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</si>
  <si>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</si>
  <si>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</si>
  <si>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</si>
  <si>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</si>
  <si>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</si>
  <si>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</si>
  <si>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</si>
  <si>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</si>
  <si>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</si>
  <si>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</si>
  <si>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</si>
  <si>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</si>
  <si>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</si>
  <si>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</si>
  <si>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</si>
  <si>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</si>
  <si>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</si>
  <si>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</si>
  <si>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</si>
  <si>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</si>
  <si>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</si>
  <si>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</si>
  <si>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</si>
  <si>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</si>
  <si>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</si>
  <si>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</si>
  <si>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</si>
  <si>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</si>
  <si>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</si>
  <si>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</si>
  <si>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</si>
  <si>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</si>
  <si>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</si>
  <si>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</si>
  <si>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</si>
  <si>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</si>
  <si>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</si>
  <si>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</si>
  <si>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</si>
  <si>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</si>
  <si>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</si>
  <si>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</si>
  <si>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</si>
  <si>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</si>
  <si>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</si>
  <si>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</si>
  <si>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</si>
  <si>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</si>
  <si>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</si>
  <si>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</si>
  <si>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</si>
  <si>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</si>
  <si>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</si>
  <si>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</si>
  <si>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</si>
  <si>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</si>
  <si>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</si>
  <si>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</si>
  <si>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</si>
  <si>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</si>
  <si>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</si>
  <si>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</si>
  <si>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</si>
  <si>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</si>
  <si>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</si>
  <si>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</si>
  <si>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</si>
  <si>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</si>
  <si>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</si>
  <si>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</si>
  <si>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</si>
  <si>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</si>
  <si>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</si>
  <si>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</si>
  <si>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</si>
  <si>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</si>
  <si>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</si>
  <si>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</si>
  <si>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</si>
  <si>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</si>
  <si>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</si>
  <si>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</si>
  <si>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</si>
  <si>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</si>
  <si>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</si>
  <si>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</si>
  <si>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</si>
  <si>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</si>
  <si>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</si>
  <si>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</si>
  <si>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</si>
  <si>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</si>
  <si>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</si>
  <si>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</si>
  <si>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</si>
  <si>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</si>
  <si>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</si>
  <si>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</si>
  <si>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</si>
  <si>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</si>
  <si>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</si>
  <si>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</si>
  <si>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</si>
  <si>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</si>
  <si>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</si>
  <si>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</si>
  <si>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</si>
  <si>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</si>
  <si>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</si>
  <si>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</si>
  <si>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</si>
  <si>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</si>
  <si>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</si>
  <si>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</si>
  <si>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</si>
  <si>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</si>
  <si>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</si>
  <si>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</si>
  <si>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</si>
  <si>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</si>
  <si>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</si>
  <si>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</si>
  <si>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</si>
  <si>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</si>
  <si>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</si>
  <si>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</si>
  <si>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</si>
  <si>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</si>
  <si>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</si>
  <si>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</si>
  <si>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</si>
  <si>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</si>
  <si>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</si>
  <si>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</si>
  <si>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</si>
  <si>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</si>
  <si>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</si>
  <si>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</si>
  <si>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</si>
  <si>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</si>
  <si>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</si>
  <si>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</si>
  <si>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</si>
  <si>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</si>
  <si>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</si>
  <si>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</si>
  <si>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</si>
  <si>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</si>
  <si>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</si>
  <si>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</si>
  <si>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</si>
  <si>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</si>
  <si>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</si>
  <si>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</si>
  <si>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</si>
  <si>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</si>
  <si>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</si>
  <si>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</si>
  <si>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</si>
  <si>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</si>
  <si>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</si>
  <si>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</si>
  <si>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</si>
  <si>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</si>
  <si>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</si>
  <si>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</si>
  <si>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</si>
  <si>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</si>
  <si>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</si>
  <si>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</si>
  <si>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</si>
  <si>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</si>
  <si>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</si>
  <si>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</si>
  <si>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</si>
  <si>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</si>
  <si>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</si>
  <si>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</si>
  <si>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</si>
  <si>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</si>
  <si>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</si>
  <si>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</si>
  <si>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</si>
  <si>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</si>
  <si>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</si>
  <si>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</si>
  <si>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</si>
  <si>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</si>
  <si>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</si>
  <si>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</si>
  <si>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</si>
  <si>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</si>
  <si>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</si>
  <si>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</si>
  <si>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</si>
  <si>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</si>
  <si>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</si>
  <si>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</si>
  <si>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</si>
  <si>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</si>
  <si>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</si>
  <si>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</si>
  <si>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</si>
  <si>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</si>
  <si>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</si>
  <si>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</si>
  <si>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</si>
  <si>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</si>
  <si>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</si>
  <si>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</si>
  <si>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</si>
  <si>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</si>
  <si>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</si>
  <si>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</si>
  <si>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</si>
  <si>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</si>
  <si>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</si>
  <si>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</si>
  <si>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</si>
  <si>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</si>
  <si>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</si>
  <si>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</si>
  <si>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</si>
  <si>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</si>
  <si>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</si>
  <si>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</si>
  <si>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</si>
  <si>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</si>
  <si>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</si>
  <si>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</si>
  <si>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</si>
  <si>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</si>
  <si>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</si>
  <si>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</si>
  <si>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</si>
  <si>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</si>
  <si>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</si>
  <si>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</si>
  <si>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</si>
  <si>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</si>
  <si>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</si>
  <si>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</si>
  <si>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</si>
  <si>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</si>
  <si>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</si>
  <si>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</si>
  <si>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</si>
  <si>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</si>
  <si>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</si>
  <si>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</si>
  <si>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</si>
  <si>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</si>
  <si>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</si>
  <si>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</si>
  <si>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</si>
  <si>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</si>
  <si>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</si>
  <si>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</si>
  <si>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</si>
  <si>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</si>
  <si>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</si>
  <si>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</si>
  <si>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</si>
  <si>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</si>
  <si>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</si>
  <si>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</si>
  <si>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</si>
  <si>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</si>
  <si>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</si>
  <si>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</si>
  <si>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</si>
  <si>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</si>
  <si>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</si>
  <si>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</si>
  <si>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</si>
  <si>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</si>
  <si>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</si>
  <si>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</si>
  <si>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</si>
  <si>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</si>
  <si>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</si>
  <si>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</si>
  <si>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</si>
  <si>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</si>
  <si>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</si>
  <si>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</si>
  <si>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</si>
  <si>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</si>
  <si>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</si>
  <si>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</si>
  <si>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</si>
  <si>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</si>
  <si>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</si>
  <si>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</si>
  <si>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</si>
  <si>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</si>
  <si>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</si>
  <si>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</si>
  <si>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</si>
  <si>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</si>
  <si>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</si>
  <si>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</si>
  <si>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</si>
  <si>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</si>
  <si>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</si>
  <si>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</si>
  <si>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</si>
  <si>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</si>
  <si>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</si>
  <si>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</si>
  <si>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</si>
  <si>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</si>
  <si>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</si>
  <si>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</si>
  <si>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</si>
  <si>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</si>
  <si>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</si>
  <si>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</si>
  <si>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</si>
  <si>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</si>
  <si>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</si>
  <si>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</si>
  <si>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</si>
  <si>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</si>
  <si>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</si>
  <si>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</si>
  <si>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</si>
  <si>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</si>
  <si>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</si>
  <si>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</si>
  <si>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</si>
  <si>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</si>
  <si>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</si>
  <si>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</si>
  <si>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</si>
  <si>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</si>
  <si>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</si>
  <si>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</si>
  <si>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</si>
  <si>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</si>
  <si>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</si>
  <si>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</si>
  <si>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</si>
  <si>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</si>
  <si>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</si>
  <si>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</si>
  <si>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</si>
  <si>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</si>
  <si>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</si>
  <si>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</si>
  <si>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</si>
  <si>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</si>
  <si>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</si>
  <si>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</si>
  <si>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</si>
  <si>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</si>
  <si>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</si>
  <si>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</si>
  <si>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</si>
  <si>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</si>
  <si>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</si>
  <si>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</si>
  <si>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</si>
  <si>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</si>
  <si>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</si>
  <si>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</si>
  <si>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</si>
  <si>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</si>
  <si>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</si>
  <si>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</si>
  <si>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</si>
  <si>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</si>
  <si>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</si>
  <si>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</si>
  <si>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</si>
  <si>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</si>
  <si>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</si>
  <si>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</si>
  <si>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</si>
  <si>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</si>
  <si>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</si>
  <si>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</si>
  <si>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</si>
  <si>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</si>
  <si>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</si>
  <si>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</si>
  <si>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</si>
  <si>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</si>
  <si>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</si>
  <si>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</si>
  <si>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</si>
  <si>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</si>
  <si>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</si>
  <si>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</si>
  <si>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</si>
  <si>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</si>
  <si>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</si>
  <si>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</si>
  <si>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</si>
  <si>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</si>
  <si>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</si>
  <si>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</si>
  <si>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</si>
  <si>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</si>
  <si>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</si>
  <si>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</si>
  <si>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</si>
  <si>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</si>
  <si>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</si>
  <si>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</si>
  <si>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</si>
  <si>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</si>
  <si>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</si>
  <si>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</si>
  <si>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</si>
  <si>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</si>
  <si>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</si>
  <si>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</si>
  <si>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</si>
  <si>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</si>
  <si>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</si>
  <si>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</si>
  <si>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</si>
  <si>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</si>
  <si>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</si>
  <si>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</si>
  <si>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</si>
  <si>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</si>
  <si>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</si>
  <si>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</si>
  <si>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</si>
  <si>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</si>
  <si>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</si>
  <si>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</si>
  <si>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</si>
  <si>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</si>
  <si>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</si>
  <si>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</si>
  <si>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</si>
  <si>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</si>
  <si>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</si>
  <si>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</si>
  <si>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</si>
  <si>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</si>
  <si>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</si>
  <si>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</si>
  <si>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</si>
  <si>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</si>
  <si>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</si>
  <si>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</si>
  <si>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</si>
  <si>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</si>
  <si>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</si>
  <si>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</si>
  <si>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</si>
  <si>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</si>
  <si>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</si>
  <si>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</si>
  <si>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</si>
  <si>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</si>
  <si>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</si>
  <si>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</si>
  <si>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</si>
  <si>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</si>
  <si>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</si>
  <si>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</si>
  <si>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</si>
  <si>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</si>
  <si>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</si>
  <si>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</si>
  <si>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</si>
  <si>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</si>
  <si>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</si>
  <si>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</si>
  <si>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</si>
  <si>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</si>
  <si>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</si>
  <si>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</si>
  <si>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</si>
  <si>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</si>
  <si>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</si>
  <si>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</si>
  <si>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</si>
  <si>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</si>
  <si>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</si>
  <si>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</si>
  <si>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</si>
  <si>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</si>
  <si>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</si>
  <si>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</si>
  <si>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</si>
  <si>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</si>
  <si>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</si>
  <si>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</si>
  <si>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</si>
  <si>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</si>
  <si>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</si>
  <si>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</si>
  <si>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</si>
  <si>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</si>
  <si>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</si>
  <si>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</si>
  <si>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</si>
  <si>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</si>
  <si>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</si>
  <si>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</si>
  <si>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</si>
  <si>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</si>
  <si>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</si>
  <si>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</si>
  <si>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</si>
  <si>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</si>
  <si>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</si>
  <si>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</si>
  <si>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</si>
  <si>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</si>
  <si>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</si>
  <si>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</si>
  <si>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</si>
  <si>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</si>
  <si>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</si>
  <si>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</si>
  <si>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</si>
  <si>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</si>
  <si>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</si>
  <si>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</si>
  <si>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</si>
  <si>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</si>
  <si>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</si>
  <si>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</si>
  <si>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</si>
  <si>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</si>
  <si>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</si>
  <si>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</si>
  <si>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</si>
  <si>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</si>
  <si>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</si>
  <si>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</si>
  <si>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</si>
  <si>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</si>
  <si>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</si>
  <si>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</si>
  <si>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</si>
  <si>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</si>
  <si>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</si>
  <si>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</si>
  <si>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</si>
  <si>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</si>
  <si>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</si>
  <si>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</si>
  <si>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</si>
  <si>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</si>
  <si>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</si>
  <si>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</si>
  <si>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</si>
  <si>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</si>
  <si>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</si>
  <si>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</si>
  <si>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</si>
  <si>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</si>
  <si>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</si>
  <si>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</si>
  <si>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</si>
  <si>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</si>
  <si>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</si>
  <si>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</si>
  <si>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</si>
  <si>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</si>
  <si>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</si>
  <si>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</si>
  <si>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</si>
  <si>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</si>
  <si>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</si>
  <si>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</si>
  <si>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</si>
  <si>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</si>
  <si>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</si>
  <si>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</si>
  <si>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</si>
  <si>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</si>
  <si>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</si>
  <si>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</si>
  <si>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</si>
  <si>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</si>
  <si>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</si>
  <si>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</si>
  <si>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</si>
  <si>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</si>
  <si>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</si>
  <si>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</si>
  <si>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</si>
  <si>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</si>
  <si>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</si>
  <si>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</si>
  <si>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</si>
  <si>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</si>
  <si>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</si>
  <si>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</si>
  <si>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</si>
  <si>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</si>
  <si>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</si>
  <si>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</si>
  <si>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</si>
  <si>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</si>
  <si>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</si>
  <si>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</si>
  <si>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</si>
  <si>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</si>
  <si>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</si>
  <si>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</si>
  <si>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</si>
  <si>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</si>
  <si>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</si>
  <si>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</si>
  <si>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</si>
  <si>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</si>
  <si>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</si>
  <si>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</si>
  <si>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</si>
  <si>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</si>
  <si>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</si>
  <si>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</si>
  <si>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</si>
  <si>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</si>
  <si>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</si>
  <si>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</si>
  <si>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</si>
  <si>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</si>
  <si>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</si>
  <si>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</si>
  <si>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</si>
  <si>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</si>
  <si>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</si>
  <si>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</si>
  <si>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</si>
  <si>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</si>
  <si>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</si>
  <si>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</si>
  <si>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</si>
  <si>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</si>
  <si>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</si>
  <si>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</si>
  <si>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</si>
  <si>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</si>
  <si>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</si>
  <si>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</si>
  <si>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</si>
  <si>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</si>
  <si>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</si>
  <si>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</si>
  <si>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</si>
  <si>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</si>
  <si>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</si>
  <si>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</si>
  <si>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</si>
  <si>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</si>
  <si>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</si>
  <si>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</si>
  <si>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</si>
  <si>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</si>
  <si>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</si>
  <si>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</si>
  <si>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</si>
  <si>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</si>
  <si>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</si>
  <si>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</si>
  <si>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</si>
  <si>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</si>
  <si>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</si>
  <si>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</si>
  <si>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</si>
  <si>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</si>
  <si>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</si>
  <si>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</si>
  <si>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</si>
  <si>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</si>
  <si>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</si>
  <si>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</si>
  <si>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</si>
  <si>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</si>
  <si>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</si>
  <si>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</si>
  <si>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</si>
  <si>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</si>
  <si>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</si>
  <si>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</si>
  <si>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</si>
  <si>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</si>
  <si>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</si>
  <si>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</si>
  <si>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</si>
  <si>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</si>
  <si>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</si>
  <si>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</si>
  <si>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</si>
  <si>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</si>
  <si>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</si>
  <si>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</si>
  <si>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</si>
  <si>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</si>
  <si>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</si>
  <si>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</si>
  <si>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</si>
  <si>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</si>
  <si>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</si>
  <si>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</si>
  <si>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</si>
  <si>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</si>
  <si>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</si>
  <si>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</si>
  <si>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</si>
  <si>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</si>
  <si>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</si>
  <si>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</si>
  <si>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</si>
  <si>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</si>
  <si>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</si>
  <si>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</si>
  <si>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</si>
  <si>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</si>
  <si>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</si>
  <si>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</si>
  <si>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</si>
  <si>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</si>
  <si>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</si>
  <si>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</si>
  <si>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</si>
  <si>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</si>
  <si>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</si>
  <si>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</si>
  <si>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</si>
  <si>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</si>
  <si>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</si>
  <si>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</si>
  <si>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</si>
  <si>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</si>
  <si>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</si>
  <si>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</si>
  <si>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</si>
  <si>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</si>
  <si>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</si>
  <si>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</si>
  <si>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</si>
  <si>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</si>
  <si>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</si>
  <si>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</si>
  <si>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</si>
  <si>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</si>
  <si>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</si>
  <si>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</si>
  <si>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</si>
  <si>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</si>
  <si>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</si>
  <si>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</si>
  <si>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</si>
  <si>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</si>
  <si>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</si>
  <si>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</si>
  <si>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</si>
  <si>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</si>
  <si>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</si>
  <si>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</si>
  <si>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</si>
  <si>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</si>
  <si>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</si>
  <si>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</si>
  <si>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</si>
  <si>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</si>
  <si>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</si>
  <si>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</si>
  <si>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</si>
  <si>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</si>
  <si>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</si>
  <si>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</si>
  <si>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</si>
  <si>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</si>
  <si>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</si>
  <si>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</si>
  <si>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</si>
  <si>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</si>
  <si>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</si>
  <si>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</si>
  <si>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</si>
  <si>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</si>
  <si>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</si>
  <si>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</si>
  <si>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</si>
  <si>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</si>
  <si>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</si>
  <si>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</si>
  <si>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</si>
  <si>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</si>
  <si>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</si>
  <si>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</si>
  <si>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</si>
  <si>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</si>
  <si>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</si>
  <si>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</si>
  <si>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</si>
  <si>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</si>
  <si>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</si>
  <si>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</si>
  <si>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</si>
  <si>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</si>
  <si>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</si>
  <si>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</si>
  <si>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</si>
  <si>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</si>
  <si>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</si>
  <si>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</si>
  <si>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</si>
  <si>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</si>
  <si>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</si>
  <si>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Count of Customer ID</t>
  </si>
  <si>
    <t>Count of Order ID</t>
  </si>
  <si>
    <t>Arabica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</si>
</sst>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45C]#,##0"/>
    <numFmt numFmtId="169"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169" fontId="0" fillId="0" borderId="0" xfId="0" applyNumberFormat="1"/>
    <xf numFmtId="0"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8"/>
        <color theme="0"/>
        <name val="Calibri"/>
        <family val="2"/>
        <scheme val="minor"/>
      </font>
      <border>
        <left style="thin">
          <color theme="0"/>
        </left>
        <right style="thin">
          <color theme="0"/>
        </right>
        <top style="thin">
          <color theme="0"/>
        </top>
        <bottom style="thin">
          <color theme="0"/>
        </bottom>
      </border>
    </dxf>
    <dxf>
      <font>
        <b/>
        <i val="0"/>
        <sz val="16"/>
        <color theme="0"/>
        <name val="Calibri"/>
        <family val="2"/>
        <scheme val="minor"/>
      </font>
      <fill>
        <patternFill>
          <bgColor rgb="FFC65911"/>
        </patternFill>
      </fill>
      <border>
        <left style="thin">
          <color theme="0"/>
        </left>
        <right style="thin">
          <color theme="0"/>
        </right>
        <top style="thin">
          <color theme="0"/>
        </top>
        <bottom style="thin">
          <color theme="0"/>
        </bottom>
      </border>
    </dxf>
    <dxf>
      <font>
        <b/>
        <i val="0"/>
        <sz val="16"/>
        <color theme="0"/>
        <name val="Calibri"/>
        <family val="2"/>
        <scheme val="minor"/>
      </font>
      <fill>
        <patternFill>
          <bgColor rgb="FFC65911"/>
        </patternFill>
      </fill>
      <border>
        <left style="thin">
          <color theme="0"/>
        </left>
        <right style="thin">
          <color theme="0"/>
        </right>
        <top style="thin">
          <color theme="0"/>
        </top>
        <bottom style="thin">
          <color theme="0"/>
        </bottom>
      </border>
    </dxf>
    <dxf>
      <font>
        <b val="0"/>
        <i val="0"/>
        <sz val="14"/>
        <color theme="0"/>
        <name val="Calibri"/>
        <family val="2"/>
        <scheme val="minor"/>
      </font>
      <fill>
        <patternFill patternType="solid">
          <fgColor theme="0"/>
          <bgColor rgb="FFC65911"/>
        </patternFill>
      </fill>
      <border>
        <left style="thin">
          <color theme="5" tint="-0.24994659260841701"/>
        </left>
        <right style="thin">
          <color theme="5" tint="-0.24994659260841701"/>
        </right>
        <top style="thin">
          <color theme="5" tint="-0.24994659260841701"/>
        </top>
        <bottom style="thin">
          <color theme="5" tint="-0.24994659260841701"/>
        </bottom>
      </border>
    </dxf>
  </dxfs>
  <tableStyles count="2" defaultTableStyle="TableStyleMedium2" defaultPivotStyle="PivotStyleLight16">
    <tableStyle name="Light Orange Style " pivot="0" table="0" count="8" xr9:uid="{752E7DCF-E321-45FA-8D95-08768B605C49}">
      <tableStyleElement type="wholeTable" dxfId="15"/>
      <tableStyleElement type="headerRow" dxfId="14"/>
    </tableStyle>
    <tableStyle name="Light Orange Style  Slicer" pivot="0" table="0" count="6" xr9:uid="{ECD148A2-7BD3-4D2E-ACF7-529B1C8719A9}">
      <tableStyleElement type="wholeTable" dxfId="13"/>
      <tableStyleElement type="headerRow" dxfId="12"/>
    </tableStyle>
  </tableStyles>
  <colors>
    <mruColors>
      <color rgb="FF632D09"/>
      <color rgb="FFC65911"/>
      <color rgb="FFF9D5BD"/>
      <color rgb="FFF29B60"/>
      <color rgb="FFEF863F"/>
      <color rgb="FFF08024"/>
      <color rgb="FFEB6C15"/>
      <color rgb="FFE94E09"/>
      <color rgb="FFFFFA21"/>
      <color rgb="FFF4EE00"/>
    </mruColors>
  </colors>
  <extLst>
    <ext xmlns:x14="http://schemas.microsoft.com/office/spreadsheetml/2009/9/main" uri="{46F421CA-312F-682f-3DD2-61675219B42D}">
      <x14:dxfs count="4">
        <dxf>
          <font>
            <b/>
            <i val="0"/>
            <color theme="0"/>
            <name val="Calibri"/>
            <family val="2"/>
            <scheme val="minor"/>
          </font>
        </dxf>
        <dxf>
          <font>
            <b/>
            <i val="0"/>
            <color theme="0"/>
            <name val="Calibri"/>
            <family val="2"/>
            <scheme val="minor"/>
          </font>
        </dxf>
        <dxf>
          <font>
            <b/>
            <i val="0"/>
            <strike/>
            <color theme="0" tint="-4.9989318521683403E-2"/>
            <name val="Calibri"/>
            <family val="2"/>
            <scheme val="minor"/>
          </font>
        </dxf>
        <dxf>
          <font>
            <b/>
            <i val="0"/>
            <strike/>
            <color theme="0" tint="-4.9989318521683403E-2"/>
            <name val="Calibri"/>
            <family val="2"/>
            <scheme val="minor"/>
          </font>
        </dxf>
      </x14:dxfs>
    </ext>
    <ext xmlns:x14="http://schemas.microsoft.com/office/spreadsheetml/2009/9/main" uri="{EB79DEF2-80B8-43e5-95BD-54CBDDF9020C}">
      <x14:slicerStyles defaultSlicerStyle="SlicerStyleLight1">
        <x14:slicerStyle name="Light Orange Sty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F29B60"/>
            </patternFill>
          </fill>
        </dxf>
        <dxf>
          <font>
            <b/>
            <i val="0"/>
            <sz val="10"/>
            <color theme="0"/>
            <name val="Calibri"/>
            <family val="2"/>
            <scheme val="minor"/>
          </font>
        </dxf>
        <dxf>
          <font>
            <b/>
            <i val="0"/>
            <sz val="10"/>
            <color theme="0"/>
            <name val="Calibri"/>
            <family val="2"/>
            <scheme val="minor"/>
          </font>
        </dxf>
        <dxf>
          <font>
            <b/>
            <i val="0"/>
            <sz val="14"/>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Light Orange Style ">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[coffeeOrdersDashboard.xlsx]Total_Sales!TopSales</c:name>
    <c:fmtId val="11"/>
  </c:pivotSource>
  <c:chart>
    <c:title>
      <c:tx>
        <c:rich>
          <a:bodyPr rot="0" spcFirstLastPara="1" vertOverflow="ellipsis" vert="horz" wrap="square" anchor="ctr" anchorCtr="1"/>
          <a:lstStyle/>
          <a:p>
            <a:pPr>
              <a:defRPr sz="1400" b="0" i="0" u="none" strike="noStrike" kern="1200" spc="0" baseline="0">
                <a:solidFill>
                  <a:srgbClr val="632D09"/>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32D09"/>
              </a:solidFill>
              <a:latin typeface="+mn-lt"/>
              <a:ea typeface="+mn-ea"/>
              <a:cs typeface="+mn-cs"/>
            </a:defRPr>
          </a:pPr>
          <a:endParaRPr lang="en-VG"/>
        </a:p>
      </c:txPr>
    </c:title>
    <c:autoTitleDeleted val="0"/>
    <c:pivotFmts>
      <c:pivotFmt>
        <c:idx val="0"/>
        <c:spPr>
          <a:ln w="28575" cap="rnd">
            <a:solidFill>
              <a:srgbClr val="2847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A22E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14BE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251.965</c:v>
                </c:pt>
                <c:pt idx="2">
                  <c:v>224.94499999999999</c:v>
                </c:pt>
                <c:pt idx="3">
                  <c:v>307.12</c:v>
                </c:pt>
                <c:pt idx="4">
                  <c:v>53.664999999999992</c:v>
                </c:pt>
                <c:pt idx="5">
                  <c:v>163.01999999999998</c:v>
                </c:pt>
                <c:pt idx="6">
                  <c:v>345.02</c:v>
                </c:pt>
                <c:pt idx="7">
                  <c:v>334.89000000000004</c:v>
                </c:pt>
                <c:pt idx="8">
                  <c:v>178.70999999999998</c:v>
                </c:pt>
                <c:pt idx="9">
                  <c:v>301.98499999999996</c:v>
                </c:pt>
                <c:pt idx="10">
                  <c:v>312.83499999999998</c:v>
                </c:pt>
                <c:pt idx="11">
                  <c:v>265.62</c:v>
                </c:pt>
                <c:pt idx="12">
                  <c:v>47.25</c:v>
                </c:pt>
                <c:pt idx="13">
                  <c:v>745.45</c:v>
                </c:pt>
                <c:pt idx="14">
                  <c:v>130.47</c:v>
                </c:pt>
                <c:pt idx="15">
                  <c:v>27</c:v>
                </c:pt>
                <c:pt idx="16">
                  <c:v>255.11499999999995</c:v>
                </c:pt>
                <c:pt idx="17">
                  <c:v>584.79</c:v>
                </c:pt>
                <c:pt idx="18">
                  <c:v>430.61999999999995</c:v>
                </c:pt>
                <c:pt idx="19">
                  <c:v>22.5</c:v>
                </c:pt>
                <c:pt idx="20">
                  <c:v>126.14999999999999</c:v>
                </c:pt>
                <c:pt idx="21">
                  <c:v>376.03</c:v>
                </c:pt>
                <c:pt idx="22">
                  <c:v>515.17999999999995</c:v>
                </c:pt>
                <c:pt idx="23">
                  <c:v>95.86</c:v>
                </c:pt>
                <c:pt idx="24">
                  <c:v>258.34499999999997</c:v>
                </c:pt>
                <c:pt idx="25">
                  <c:v>342.19999999999993</c:v>
                </c:pt>
                <c:pt idx="26">
                  <c:v>418.30499999999995</c:v>
                </c:pt>
                <c:pt idx="27">
                  <c:v>102.32999999999998</c:v>
                </c:pt>
                <c:pt idx="28">
                  <c:v>234.72</c:v>
                </c:pt>
                <c:pt idx="29">
                  <c:v>430.39</c:v>
                </c:pt>
                <c:pt idx="30">
                  <c:v>109.005</c:v>
                </c:pt>
                <c:pt idx="31">
                  <c:v>287.52499999999998</c:v>
                </c:pt>
                <c:pt idx="32">
                  <c:v>840.93</c:v>
                </c:pt>
                <c:pt idx="33">
                  <c:v>299.07</c:v>
                </c:pt>
                <c:pt idx="34">
                  <c:v>323.32499999999999</c:v>
                </c:pt>
                <c:pt idx="35">
                  <c:v>399.48499999999996</c:v>
                </c:pt>
                <c:pt idx="36">
                  <c:v>112.69499999999999</c:v>
                </c:pt>
                <c:pt idx="37">
                  <c:v>114.88</c:v>
                </c:pt>
                <c:pt idx="38">
                  <c:v>277.76</c:v>
                </c:pt>
                <c:pt idx="39">
                  <c:v>197.89500000000001</c:v>
                </c:pt>
                <c:pt idx="40">
                  <c:v>193.11500000000001</c:v>
                </c:pt>
                <c:pt idx="41">
                  <c:v>179.79</c:v>
                </c:pt>
                <c:pt idx="42">
                  <c:v>247.29</c:v>
                </c:pt>
                <c:pt idx="43">
                  <c:v>116.39499999999998</c:v>
                </c:pt>
              </c:numCache>
            </c:numRef>
          </c:val>
          <c:smooth val="0"/>
          <c:extLst>
            <c:ext xmlns:c16="http://schemas.microsoft.com/office/drawing/2014/chart" uri="{C3380CC4-5D6E-409C-BE32-E72D297353CC}">
              <c16:uniqueId val="{00000006-396C-42E2-AF64-A5443B2D364B}"/>
            </c:ext>
          </c:extLst>
        </c:ser>
        <c:dLbls>
          <c:showLegendKey val="0"/>
          <c:showVal val="0"/>
          <c:showCatName val="0"/>
          <c:showSerName val="0"/>
          <c:showPercent val="0"/>
          <c:showBubbleSize val="0"/>
        </c:dLbls>
        <c:smooth val="0"/>
        <c:axId val="569516256"/>
        <c:axId val="569516736"/>
      </c:lineChart>
      <c:catAx>
        <c:axId val="56951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32D09"/>
                </a:solidFill>
                <a:latin typeface="+mn-lt"/>
                <a:ea typeface="+mn-ea"/>
                <a:cs typeface="+mn-cs"/>
              </a:defRPr>
            </a:pPr>
            <a:endParaRPr lang="en-VG"/>
          </a:p>
        </c:txPr>
        <c:crossAx val="569516736"/>
        <c:crosses val="autoZero"/>
        <c:auto val="1"/>
        <c:lblAlgn val="ctr"/>
        <c:lblOffset val="100"/>
        <c:noMultiLvlLbl val="0"/>
      </c:catAx>
      <c:valAx>
        <c:axId val="56951673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632D09"/>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32D09"/>
                  </a:solidFill>
                  <a:latin typeface="+mn-lt"/>
                  <a:ea typeface="+mn-ea"/>
                  <a:cs typeface="+mn-cs"/>
                </a:defRPr>
              </a:pPr>
              <a:endParaRPr lang="en-VG"/>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32D09"/>
                </a:solidFill>
                <a:latin typeface="+mn-lt"/>
                <a:ea typeface="+mn-ea"/>
                <a:cs typeface="+mn-cs"/>
              </a:defRPr>
            </a:pPr>
            <a:endParaRPr lang="en-VG"/>
          </a:p>
        </c:txPr>
        <c:crossAx val="5695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32D09"/>
              </a:solidFill>
              <a:latin typeface="+mn-lt"/>
              <a:ea typeface="+mn-ea"/>
              <a:cs typeface="+mn-cs"/>
            </a:defRPr>
          </a:pPr>
          <a:endParaRPr lang="en-V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D5BD"/>
    </a:solidFill>
    <a:ln w="9525" cap="flat" cmpd="sng" algn="ctr">
      <a:solidFill>
        <a:schemeClr val="tx1">
          <a:lumMod val="15000"/>
          <a:lumOff val="85000"/>
        </a:schemeClr>
      </a:solidFill>
      <a:round/>
    </a:ln>
    <a:effectLst/>
  </c:spPr>
  <c:txPr>
    <a:bodyPr/>
    <a:lstStyle/>
    <a:p>
      <a:pPr>
        <a:defRPr>
          <a:solidFill>
            <a:srgbClr val="632D09"/>
          </a:solidFill>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[coffeeOrdersDashboard.xlsx]Country_Bar_Chart!TopSales</c:name>
    <c:fmtId val="15"/>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VG"/>
        </a:p>
      </c:txPr>
    </c:title>
    <c:autoTitleDeleted val="0"/>
    <c:pivotFmts>
      <c:pivotFmt>
        <c:idx val="0"/>
        <c:spPr>
          <a:solidFill>
            <a:schemeClr val="accent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65911"/>
          </a:solidFill>
          <a:ln w="12700">
            <a:solidFill>
              <a:schemeClr val="bg1"/>
            </a:solidFill>
          </a:ln>
          <a:effectLst/>
        </c:spPr>
      </c:pivotFmt>
    </c:pivotFmts>
    <c:plotArea>
      <c:layout/>
      <c:barChart>
        <c:barDir val="bar"/>
        <c:grouping val="clustered"/>
        <c:varyColors val="0"/>
        <c:ser>
          <c:idx val="0"/>
          <c:order val="0"/>
          <c:tx>
            <c:strRef>
              <c:f>Country_Bar_Chart!$B$3</c:f>
              <c:strCache>
                <c:ptCount val="1"/>
                <c:pt idx="0">
                  <c:v>Total</c:v>
                </c:pt>
              </c:strCache>
            </c:strRef>
          </c:tx>
          <c:spPr>
            <a:solidFill>
              <a:schemeClr val="accent2">
                <a:lumMod val="75000"/>
              </a:schemeClr>
            </a:solidFill>
            <a:ln w="12700">
              <a:solidFill>
                <a:schemeClr val="bg1"/>
              </a:solidFill>
            </a:ln>
            <a:effectLst/>
          </c:spPr>
          <c:invertIfNegative val="0"/>
          <c:dPt>
            <c:idx val="2"/>
            <c:invertIfNegative val="0"/>
            <c:bubble3D val="0"/>
            <c:spPr>
              <a:solidFill>
                <a:srgbClr val="C65911"/>
              </a:solidFill>
              <a:ln w="1270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Country_Bar_Chart!$A$4:$A$6</c:f>
              <c:strCache>
                <c:ptCount val="3"/>
                <c:pt idx="0">
                  <c:v>United Kingdom</c:v>
                </c:pt>
                <c:pt idx="1">
                  <c:v>Ireland</c:v>
                </c:pt>
                <c:pt idx="2">
                  <c:v>United States</c:v>
                </c:pt>
              </c:strCache>
            </c:strRef>
          </c:cat>
          <c:val>
            <c:numRef>
              <c:f>Country_Bar_Chart!$B$4:$B$6</c:f>
              <c:numCache>
                <c:formatCode>[$$-45C]#,##0</c:formatCode>
                <c:ptCount val="3"/>
                <c:pt idx="0">
                  <c:v>267.17999999999995</c:v>
                </c:pt>
                <c:pt idx="1">
                  <c:v>1360.3049999999998</c:v>
                </c:pt>
                <c:pt idx="2">
                  <c:v>10141.01</c:v>
                </c:pt>
              </c:numCache>
            </c:numRef>
          </c:val>
          <c:extLst>
            <c:ext xmlns:c16="http://schemas.microsoft.com/office/drawing/2014/chart" uri="{C3380CC4-5D6E-409C-BE32-E72D297353CC}">
              <c16:uniqueId val="{00000002-2AE5-466D-B7FC-E4B2B569B1B4}"/>
            </c:ext>
          </c:extLst>
        </c:ser>
        <c:dLbls>
          <c:showLegendKey val="0"/>
          <c:showVal val="0"/>
          <c:showCatName val="0"/>
          <c:showSerName val="0"/>
          <c:showPercent val="0"/>
          <c:showBubbleSize val="0"/>
        </c:dLbls>
        <c:gapWidth val="182"/>
        <c:axId val="173470896"/>
        <c:axId val="173477616"/>
      </c:barChart>
      <c:catAx>
        <c:axId val="17347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crossAx val="173477616"/>
        <c:crosses val="autoZero"/>
        <c:auto val="1"/>
        <c:lblAlgn val="ctr"/>
        <c:lblOffset val="100"/>
        <c:noMultiLvlLbl val="0"/>
      </c:catAx>
      <c:valAx>
        <c:axId val="173477616"/>
        <c:scaling>
          <c:orientation val="minMax"/>
        </c:scaling>
        <c:delete val="0"/>
        <c:axPos val="b"/>
        <c:majorGridlines>
          <c:spPr>
            <a:ln w="9525" cap="flat" cmpd="sng" algn="ctr">
              <a:solidFill>
                <a:schemeClr val="bg1"/>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crossAx val="1734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D5BD"/>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[coffeeOrdersDashboard.xlsx]Customer_Bar_Char!TopSales</c:name>
    <c:fmtId val="17"/>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VG"/>
        </a:p>
      </c:txPr>
    </c:title>
    <c:autoTitleDeleted val="0"/>
    <c:pivotFmts>
      <c:pivotFmt>
        <c:idx val="0"/>
        <c:spPr>
          <a:solidFill>
            <a:srgbClr val="C65911"/>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Customer_Bar_Char!$B$3</c:f>
              <c:strCache>
                <c:ptCount val="1"/>
                <c:pt idx="0">
                  <c:v>Total</c:v>
                </c:pt>
              </c:strCache>
            </c:strRef>
          </c:tx>
          <c:spPr>
            <a:solidFill>
              <a:srgbClr val="C65911"/>
            </a:solidFill>
            <a:ln w="127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Customer_Bar_Char!$A$4:$A$8</c:f>
              <c:strCache>
                <c:ptCount val="5"/>
                <c:pt idx="0">
                  <c:v>Milty Middis</c:v>
                </c:pt>
                <c:pt idx="1">
                  <c:v>Bobby Folomkin</c:v>
                </c:pt>
                <c:pt idx="2">
                  <c:v>Redd Simao</c:v>
                </c:pt>
                <c:pt idx="3">
                  <c:v>Hermann Larvor</c:v>
                </c:pt>
                <c:pt idx="4">
                  <c:v>Terri Farra</c:v>
                </c:pt>
              </c:strCache>
            </c:strRef>
          </c:cat>
          <c:val>
            <c:numRef>
              <c:f>Customer_Bar_Char!$B$4:$B$8</c:f>
              <c:numCache>
                <c:formatCode>[$$-409]#,##0</c:formatCode>
                <c:ptCount val="5"/>
                <c:pt idx="0">
                  <c:v>178.70999999999998</c:v>
                </c:pt>
                <c:pt idx="1">
                  <c:v>178.70999999999998</c:v>
                </c:pt>
                <c:pt idx="2">
                  <c:v>178.70999999999998</c:v>
                </c:pt>
                <c:pt idx="3">
                  <c:v>178.70999999999998</c:v>
                </c:pt>
                <c:pt idx="4">
                  <c:v>215.01</c:v>
                </c:pt>
              </c:numCache>
            </c:numRef>
          </c:val>
          <c:extLst>
            <c:ext xmlns:c16="http://schemas.microsoft.com/office/drawing/2014/chart" uri="{C3380CC4-5D6E-409C-BE32-E72D297353CC}">
              <c16:uniqueId val="{00000000-73B0-4000-BA02-BC88F7D216F5}"/>
            </c:ext>
          </c:extLst>
        </c:ser>
        <c:dLbls>
          <c:showLegendKey val="0"/>
          <c:showVal val="0"/>
          <c:showCatName val="0"/>
          <c:showSerName val="0"/>
          <c:showPercent val="0"/>
          <c:showBubbleSize val="0"/>
        </c:dLbls>
        <c:gapWidth val="182"/>
        <c:axId val="173447376"/>
        <c:axId val="173436816"/>
      </c:barChart>
      <c:catAx>
        <c:axId val="17344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crossAx val="173436816"/>
        <c:crosses val="autoZero"/>
        <c:auto val="1"/>
        <c:lblAlgn val="ctr"/>
        <c:lblOffset val="100"/>
        <c:noMultiLvlLbl val="0"/>
      </c:catAx>
      <c:valAx>
        <c:axId val="17343681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crossAx val="17344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D5BD"/>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[coffeeOrdersDashboard.xlsx]Total_Sales!TopSales</c:name>
    <c:fmtId val="16"/>
  </c:pivotSource>
  <c:chart>
    <c:title>
      <c:tx>
        <c:rich>
          <a:bodyPr rot="0" spcFirstLastPara="1" vertOverflow="ellipsis" vert="horz" wrap="square" anchor="ctr" anchorCtr="1"/>
          <a:lstStyle/>
          <a:p>
            <a:pPr>
              <a:defRPr sz="1200" b="0" i="0" u="none" strike="noStrike" kern="1200" spc="0" baseline="0">
                <a:solidFill>
                  <a:srgbClr val="632D09"/>
                </a:solidFill>
                <a:latin typeface="+mn-lt"/>
                <a:ea typeface="+mn-ea"/>
                <a:cs typeface="+mn-cs"/>
              </a:defRPr>
            </a:pPr>
            <a:r>
              <a:rPr lang="en-US" sz="1800"/>
              <a:t>Total Sales Over Time</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632D09"/>
              </a:solidFill>
              <a:latin typeface="+mn-lt"/>
              <a:ea typeface="+mn-ea"/>
              <a:cs typeface="+mn-cs"/>
            </a:defRPr>
          </a:pPr>
          <a:endParaRPr lang="en-VG"/>
        </a:p>
      </c:txPr>
    </c:title>
    <c:autoTitleDeleted val="0"/>
    <c:pivotFmts>
      <c:pivotFmt>
        <c:idx val="0"/>
        <c:spPr>
          <a:solidFill>
            <a:schemeClr val="accent1"/>
          </a:solidFill>
          <a:ln w="28575" cap="rnd">
            <a:solidFill>
              <a:srgbClr val="2847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A22E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4BE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847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A22E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14BE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28478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A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A22E8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14BE3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32D09"/>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251.965</c:v>
                </c:pt>
                <c:pt idx="2">
                  <c:v>224.94499999999999</c:v>
                </c:pt>
                <c:pt idx="3">
                  <c:v>307.12</c:v>
                </c:pt>
                <c:pt idx="4">
                  <c:v>53.664999999999992</c:v>
                </c:pt>
                <c:pt idx="5">
                  <c:v>163.01999999999998</c:v>
                </c:pt>
                <c:pt idx="6">
                  <c:v>345.02</c:v>
                </c:pt>
                <c:pt idx="7">
                  <c:v>334.89000000000004</c:v>
                </c:pt>
                <c:pt idx="8">
                  <c:v>178.70999999999998</c:v>
                </c:pt>
                <c:pt idx="9">
                  <c:v>301.98499999999996</c:v>
                </c:pt>
                <c:pt idx="10">
                  <c:v>312.83499999999998</c:v>
                </c:pt>
                <c:pt idx="11">
                  <c:v>265.62</c:v>
                </c:pt>
                <c:pt idx="12">
                  <c:v>47.25</c:v>
                </c:pt>
                <c:pt idx="13">
                  <c:v>745.45</c:v>
                </c:pt>
                <c:pt idx="14">
                  <c:v>130.47</c:v>
                </c:pt>
                <c:pt idx="15">
                  <c:v>27</c:v>
                </c:pt>
                <c:pt idx="16">
                  <c:v>255.11499999999995</c:v>
                </c:pt>
                <c:pt idx="17">
                  <c:v>584.79</c:v>
                </c:pt>
                <c:pt idx="18">
                  <c:v>430.61999999999995</c:v>
                </c:pt>
                <c:pt idx="19">
                  <c:v>22.5</c:v>
                </c:pt>
                <c:pt idx="20">
                  <c:v>126.14999999999999</c:v>
                </c:pt>
                <c:pt idx="21">
                  <c:v>376.03</c:v>
                </c:pt>
                <c:pt idx="22">
                  <c:v>515.17999999999995</c:v>
                </c:pt>
                <c:pt idx="23">
                  <c:v>95.86</c:v>
                </c:pt>
                <c:pt idx="24">
                  <c:v>258.34499999999997</c:v>
                </c:pt>
                <c:pt idx="25">
                  <c:v>342.19999999999993</c:v>
                </c:pt>
                <c:pt idx="26">
                  <c:v>418.30499999999995</c:v>
                </c:pt>
                <c:pt idx="27">
                  <c:v>102.32999999999998</c:v>
                </c:pt>
                <c:pt idx="28">
                  <c:v>234.72</c:v>
                </c:pt>
                <c:pt idx="29">
                  <c:v>430.39</c:v>
                </c:pt>
                <c:pt idx="30">
                  <c:v>109.005</c:v>
                </c:pt>
                <c:pt idx="31">
                  <c:v>287.52499999999998</c:v>
                </c:pt>
                <c:pt idx="32">
                  <c:v>840.93</c:v>
                </c:pt>
                <c:pt idx="33">
                  <c:v>299.07</c:v>
                </c:pt>
                <c:pt idx="34">
                  <c:v>323.32499999999999</c:v>
                </c:pt>
                <c:pt idx="35">
                  <c:v>399.48499999999996</c:v>
                </c:pt>
                <c:pt idx="36">
                  <c:v>112.69499999999999</c:v>
                </c:pt>
                <c:pt idx="37">
                  <c:v>114.88</c:v>
                </c:pt>
                <c:pt idx="38">
                  <c:v>277.76</c:v>
                </c:pt>
                <c:pt idx="39">
                  <c:v>197.89500000000001</c:v>
                </c:pt>
                <c:pt idx="40">
                  <c:v>193.11500000000001</c:v>
                </c:pt>
                <c:pt idx="41">
                  <c:v>179.79</c:v>
                </c:pt>
                <c:pt idx="42">
                  <c:v>247.29</c:v>
                </c:pt>
                <c:pt idx="43">
                  <c:v>116.39499999999998</c:v>
                </c:pt>
              </c:numCache>
            </c:numRef>
          </c:val>
          <c:smooth val="0"/>
          <c:extLst>
            <c:ext xmlns:c16="http://schemas.microsoft.com/office/drawing/2014/chart" uri="{C3380CC4-5D6E-409C-BE32-E72D297353CC}">
              <c16:uniqueId val="{00000007-BF01-4D3E-BF82-98E6BCBE246A}"/>
            </c:ext>
          </c:extLst>
        </c:ser>
        <c:dLbls>
          <c:showLegendKey val="0"/>
          <c:showVal val="0"/>
          <c:showCatName val="0"/>
          <c:showSerName val="0"/>
          <c:showPercent val="0"/>
          <c:showBubbleSize val="0"/>
        </c:dLbls>
        <c:smooth val="0"/>
        <c:axId val="569516256"/>
        <c:axId val="569516736"/>
      </c:lineChart>
      <c:catAx>
        <c:axId val="56951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32D09"/>
                </a:solidFill>
                <a:latin typeface="+mn-lt"/>
                <a:ea typeface="+mn-ea"/>
                <a:cs typeface="+mn-cs"/>
              </a:defRPr>
            </a:pPr>
            <a:endParaRPr lang="en-VG"/>
          </a:p>
        </c:txPr>
        <c:crossAx val="569516736"/>
        <c:crosses val="autoZero"/>
        <c:auto val="1"/>
        <c:lblAlgn val="ctr"/>
        <c:lblOffset val="100"/>
        <c:noMultiLvlLbl val="0"/>
      </c:catAx>
      <c:valAx>
        <c:axId val="56951673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632D09"/>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632D09"/>
                  </a:solidFill>
                  <a:latin typeface="+mn-lt"/>
                  <a:ea typeface="+mn-ea"/>
                  <a:cs typeface="+mn-cs"/>
                </a:defRPr>
              </a:pPr>
              <a:endParaRPr lang="en-VG"/>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32D09"/>
                </a:solidFill>
                <a:latin typeface="+mn-lt"/>
                <a:ea typeface="+mn-ea"/>
                <a:cs typeface="+mn-cs"/>
              </a:defRPr>
            </a:pPr>
            <a:endParaRPr lang="en-VG"/>
          </a:p>
        </c:txPr>
        <c:crossAx val="56951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rgbClr val="632D09"/>
              </a:solidFill>
              <a:latin typeface="+mn-lt"/>
              <a:ea typeface="+mn-ea"/>
              <a:cs typeface="+mn-cs"/>
            </a:defRPr>
          </a:pPr>
          <a:endParaRPr lang="en-V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D5BD"/>
    </a:solidFill>
    <a:ln w="9525" cap="flat" cmpd="sng" algn="ctr">
      <a:solidFill>
        <a:schemeClr val="tx1">
          <a:lumMod val="15000"/>
          <a:lumOff val="85000"/>
        </a:schemeClr>
      </a:solidFill>
      <a:round/>
    </a:ln>
    <a:effectLst/>
  </c:spPr>
  <c:txPr>
    <a:bodyPr/>
    <a:lstStyle/>
    <a:p>
      <a:pPr>
        <a:defRPr sz="1000">
          <a:solidFill>
            <a:srgbClr val="632D09"/>
          </a:solidFill>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[coffeeOrdersDashboard.xlsx]Country_Bar_Chart!TopSales</c:name>
    <c:fmtId val="18"/>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sz="1600"/>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VG"/>
        </a:p>
      </c:txPr>
    </c:title>
    <c:autoTitleDeleted val="0"/>
    <c:pivotFmts>
      <c:pivotFmt>
        <c:idx val="0"/>
        <c:spPr>
          <a:solidFill>
            <a:schemeClr val="accent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65911"/>
          </a:solidFill>
          <a:ln w="12700">
            <a:solidFill>
              <a:schemeClr val="bg1"/>
            </a:solidFill>
          </a:ln>
          <a:effectLst/>
        </c:spPr>
      </c:pivotFmt>
      <c:pivotFmt>
        <c:idx val="2"/>
        <c:spPr>
          <a:solidFill>
            <a:schemeClr val="accent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5911"/>
          </a:solidFill>
          <a:ln w="12700">
            <a:solidFill>
              <a:schemeClr val="bg1"/>
            </a:solidFill>
          </a:ln>
          <a:effectLst/>
        </c:spPr>
      </c:pivotFmt>
      <c:pivotFmt>
        <c:idx val="4"/>
        <c:spPr>
          <a:solidFill>
            <a:schemeClr val="accent2">
              <a:lumMod val="75000"/>
            </a:schemeClr>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65911"/>
          </a:solidFill>
          <a:ln w="12700">
            <a:solidFill>
              <a:schemeClr val="bg1"/>
            </a:solidFill>
          </a:ln>
          <a:effectLst/>
        </c:spPr>
      </c:pivotFmt>
    </c:pivotFmts>
    <c:plotArea>
      <c:layout/>
      <c:barChart>
        <c:barDir val="bar"/>
        <c:grouping val="clustered"/>
        <c:varyColors val="0"/>
        <c:ser>
          <c:idx val="0"/>
          <c:order val="0"/>
          <c:tx>
            <c:strRef>
              <c:f>Country_Bar_Chart!$B$3</c:f>
              <c:strCache>
                <c:ptCount val="1"/>
                <c:pt idx="0">
                  <c:v>Total</c:v>
                </c:pt>
              </c:strCache>
            </c:strRef>
          </c:tx>
          <c:spPr>
            <a:solidFill>
              <a:schemeClr val="accent2">
                <a:lumMod val="75000"/>
              </a:schemeClr>
            </a:solidFill>
            <a:ln w="12700">
              <a:solidFill>
                <a:schemeClr val="bg1"/>
              </a:solidFill>
            </a:ln>
            <a:effectLst/>
          </c:spPr>
          <c:invertIfNegative val="0"/>
          <c:dPt>
            <c:idx val="2"/>
            <c:invertIfNegative val="0"/>
            <c:bubble3D val="0"/>
            <c:spPr>
              <a:solidFill>
                <a:srgbClr val="C65911"/>
              </a:solidFill>
              <a:ln w="12700">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Country_Bar_Chart!$A$4:$A$6</c:f>
              <c:strCache>
                <c:ptCount val="3"/>
                <c:pt idx="0">
                  <c:v>United Kingdom</c:v>
                </c:pt>
                <c:pt idx="1">
                  <c:v>Ireland</c:v>
                </c:pt>
                <c:pt idx="2">
                  <c:v>United States</c:v>
                </c:pt>
              </c:strCache>
            </c:strRef>
          </c:cat>
          <c:val>
            <c:numRef>
              <c:f>Country_Bar_Chart!$B$4:$B$6</c:f>
              <c:numCache>
                <c:formatCode>[$$-45C]#,##0</c:formatCode>
                <c:ptCount val="3"/>
                <c:pt idx="0">
                  <c:v>267.17999999999995</c:v>
                </c:pt>
                <c:pt idx="1">
                  <c:v>1360.3049999999998</c:v>
                </c:pt>
                <c:pt idx="2">
                  <c:v>10141.01</c:v>
                </c:pt>
              </c:numCache>
            </c:numRef>
          </c:val>
          <c:extLst>
            <c:ext xmlns:c16="http://schemas.microsoft.com/office/drawing/2014/chart" uri="{C3380CC4-5D6E-409C-BE32-E72D297353CC}">
              <c16:uniqueId val="{00000002-08D0-430F-A0A8-7D2E265B0F96}"/>
            </c:ext>
          </c:extLst>
        </c:ser>
        <c:dLbls>
          <c:showLegendKey val="0"/>
          <c:showVal val="0"/>
          <c:showCatName val="0"/>
          <c:showSerName val="0"/>
          <c:showPercent val="0"/>
          <c:showBubbleSize val="0"/>
        </c:dLbls>
        <c:gapWidth val="182"/>
        <c:axId val="173470896"/>
        <c:axId val="173477616"/>
      </c:barChart>
      <c:catAx>
        <c:axId val="173470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crossAx val="173477616"/>
        <c:crosses val="autoZero"/>
        <c:auto val="1"/>
        <c:lblAlgn val="ctr"/>
        <c:lblOffset val="100"/>
        <c:noMultiLvlLbl val="0"/>
      </c:catAx>
      <c:valAx>
        <c:axId val="173477616"/>
        <c:scaling>
          <c:orientation val="minMax"/>
        </c:scaling>
        <c:delete val="0"/>
        <c:axPos val="b"/>
        <c:majorGridlines>
          <c:spPr>
            <a:ln w="9525" cap="flat" cmpd="sng" algn="ctr">
              <a:solidFill>
                <a:schemeClr val="bg1"/>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crossAx val="1734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D5BD"/>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[coffeeOrdersDashboard.xlsx]Customer_Bar_Char!TopSales</c:name>
    <c:fmtId val="20"/>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VG"/>
        </a:p>
      </c:txPr>
    </c:title>
    <c:autoTitleDeleted val="0"/>
    <c:pivotFmts>
      <c:pivotFmt>
        <c:idx val="0"/>
        <c:spPr>
          <a:solidFill>
            <a:srgbClr val="C65911"/>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65911"/>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65911"/>
          </a:solidFill>
          <a:ln w="127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Customer_Bar_Char!$B$3</c:f>
              <c:strCache>
                <c:ptCount val="1"/>
                <c:pt idx="0">
                  <c:v>Total</c:v>
                </c:pt>
              </c:strCache>
            </c:strRef>
          </c:tx>
          <c:spPr>
            <a:solidFill>
              <a:srgbClr val="C65911"/>
            </a:solidFill>
            <a:ln w="12700">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Customer_Bar_Char!$A$4:$A$8</c:f>
              <c:strCache>
                <c:ptCount val="5"/>
                <c:pt idx="0">
                  <c:v>Milty Middis</c:v>
                </c:pt>
                <c:pt idx="1">
                  <c:v>Bobby Folomkin</c:v>
                </c:pt>
                <c:pt idx="2">
                  <c:v>Redd Simao</c:v>
                </c:pt>
                <c:pt idx="3">
                  <c:v>Hermann Larvor</c:v>
                </c:pt>
                <c:pt idx="4">
                  <c:v>Terri Farra</c:v>
                </c:pt>
              </c:strCache>
            </c:strRef>
          </c:cat>
          <c:val>
            <c:numRef>
              <c:f>Customer_Bar_Char!$B$4:$B$8</c:f>
              <c:numCache>
                <c:formatCode>[$$-409]#,##0</c:formatCode>
                <c:ptCount val="5"/>
                <c:pt idx="0">
                  <c:v>178.70999999999998</c:v>
                </c:pt>
                <c:pt idx="1">
                  <c:v>178.70999999999998</c:v>
                </c:pt>
                <c:pt idx="2">
                  <c:v>178.70999999999998</c:v>
                </c:pt>
                <c:pt idx="3">
                  <c:v>178.70999999999998</c:v>
                </c:pt>
                <c:pt idx="4">
                  <c:v>215.01</c:v>
                </c:pt>
              </c:numCache>
            </c:numRef>
          </c:val>
          <c:extLst>
            <c:ext xmlns:c16="http://schemas.microsoft.com/office/drawing/2014/chart" uri="{C3380CC4-5D6E-409C-BE32-E72D297353CC}">
              <c16:uniqueId val="{00000000-B932-4F23-BB9C-897ACC6C0DE8}"/>
            </c:ext>
          </c:extLst>
        </c:ser>
        <c:dLbls>
          <c:showLegendKey val="0"/>
          <c:showVal val="0"/>
          <c:showCatName val="0"/>
          <c:showSerName val="0"/>
          <c:showPercent val="0"/>
          <c:showBubbleSize val="0"/>
        </c:dLbls>
        <c:gapWidth val="182"/>
        <c:axId val="173447376"/>
        <c:axId val="173436816"/>
      </c:barChart>
      <c:catAx>
        <c:axId val="17344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crossAx val="173436816"/>
        <c:crosses val="autoZero"/>
        <c:auto val="1"/>
        <c:lblAlgn val="ctr"/>
        <c:lblOffset val="100"/>
        <c:noMultiLvlLbl val="0"/>
      </c:catAx>
      <c:valAx>
        <c:axId val="173436816"/>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VG"/>
          </a:p>
        </c:txPr>
        <c:crossAx val="17344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9D5BD"/>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220980</xdr:colOff>
      <xdr:row>13</xdr:row>
      <xdr:rowOff>144780</xdr:rowOff>
    </xdr:from>
    <xdr:to>
      <xdr:col>17</xdr:col>
      <xdr:colOff>426720</xdr:colOff>
      <xdr:row>31</xdr:row>
      <xdr:rowOff>15240</xdr:rowOff>
    </xdr:to>
    <xdr:graphicFrame macro="">
      <xdr:nvGraphicFramePr>
        <xdr:cNvPr id="2" name="Chart 1">
          <a:extLst>
            <a:ext uri="{FF2B5EF4-FFF2-40B4-BE49-F238E27FC236}">
              <a16:creationId xmlns:a16="http://schemas.microsoft.com/office/drawing/2014/main" id="{B59EBE7E-833C-4322-BD31-569C2E1D3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213360</xdr:colOff>
      <xdr:row>5</xdr:row>
      <xdr:rowOff>7620</xdr:rowOff>
    </xdr:from>
    <xdr:to>
      <xdr:col>17</xdr:col>
      <xdr:colOff>411480</xdr:colOff>
      <xdr:row>13</xdr:row>
      <xdr:rowOff>15240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064FE5C-B42B-734D-00A7-DC665B74AD8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34000" y="922020"/>
              <a:ext cx="6903720" cy="1470660"/>
            </a:xfrm>
            <a:prstGeom prst="rect">
              <a:avLst/>
            </a:prstGeom>
            <a:solidFill>
              <a:prstClr val="white"/>
            </a:solidFill>
            <a:ln w="1">
              <a:solidFill>
                <a:prstClr val="green"/>
              </a:solidFill>
            </a:ln>
          </xdr:spPr>
          <xdr:txBody>
            <a:bodyPr vertOverflow="clip" horzOverflow="clip"/>
            <a:lstStyle/>
            <a:p>
              <a:r>
                <a:rPr lang="en-VG" sz="1100"/>
                <a:t>Timeline: Works in Excel 2013 or higher. Do not move or resize.</a:t>
              </a:r>
            </a:p>
          </xdr:txBody>
        </xdr:sp>
      </mc:Fallback>
    </mc:AlternateContent>
    <xdr:clientData/>
  </xdr:twoCellAnchor>
  <xdr:twoCellAnchor editAs="oneCell">
    <xdr:from>
      <xdr:col>20</xdr:col>
      <xdr:colOff>495300</xdr:colOff>
      <xdr:row>13</xdr:row>
      <xdr:rowOff>175261</xdr:rowOff>
    </xdr:from>
    <xdr:to>
      <xdr:col>23</xdr:col>
      <xdr:colOff>502920</xdr:colOff>
      <xdr:row>18</xdr:row>
      <xdr:rowOff>167640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5680A1E7-5C38-3065-EBC2-BE215B5955E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150340" y="2552701"/>
              <a:ext cx="1836420" cy="906779"/>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548640</xdr:colOff>
      <xdr:row>10</xdr:row>
      <xdr:rowOff>60959</xdr:rowOff>
    </xdr:from>
    <xdr:to>
      <xdr:col>23</xdr:col>
      <xdr:colOff>518161</xdr:colOff>
      <xdr:row>13</xdr:row>
      <xdr:rowOff>160020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5D296379-C621-416F-544D-6F08B2415FF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374880" y="1889759"/>
              <a:ext cx="3627120" cy="647701"/>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548640</xdr:colOff>
      <xdr:row>14</xdr:row>
      <xdr:rowOff>1</xdr:rowOff>
    </xdr:from>
    <xdr:to>
      <xdr:col>20</xdr:col>
      <xdr:colOff>441961</xdr:colOff>
      <xdr:row>18</xdr:row>
      <xdr:rowOff>175260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94C28EBA-0E85-5B8D-AA0F-0C97E9374CD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374880" y="2560321"/>
              <a:ext cx="1722120" cy="906779"/>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40656</xdr:colOff>
      <xdr:row>20</xdr:row>
      <xdr:rowOff>51015</xdr:rowOff>
    </xdr:from>
    <xdr:to>
      <xdr:col>23</xdr:col>
      <xdr:colOff>515470</xdr:colOff>
      <xdr:row>27</xdr:row>
      <xdr:rowOff>168088</xdr:rowOff>
    </xdr:to>
    <mc:AlternateContent xmlns:mc="http://schemas.openxmlformats.org/markup-compatibility/2006" xmlns:a14="http://schemas.microsoft.com/office/drawing/2010/main">
      <mc:Choice Requires="a14">
        <xdr:graphicFrame macro="">
          <xdr:nvGraphicFramePr>
            <xdr:cNvPr id="7" name="Coffee Type Name">
              <a:extLst>
                <a:ext uri="{FF2B5EF4-FFF2-40B4-BE49-F238E27FC236}">
                  <a16:creationId xmlns:a16="http://schemas.microsoft.com/office/drawing/2014/main" id="{525EC355-2713-63AC-E4CB-F3F9FF530E93}"/>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12837774" y="3636897"/>
              <a:ext cx="3500402" cy="1372132"/>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39688</xdr:colOff>
      <xdr:row>4</xdr:row>
      <xdr:rowOff>71438</xdr:rowOff>
    </xdr:from>
    <xdr:to>
      <xdr:col>6</xdr:col>
      <xdr:colOff>146636</xdr:colOff>
      <xdr:row>9</xdr:row>
      <xdr:rowOff>47516</xdr:rowOff>
    </xdr:to>
    <xdr:sp macro="" textlink="Total_Sales_Value!$A$4">
      <xdr:nvSpPr>
        <xdr:cNvPr id="2" name="Rectangle 1">
          <a:extLst>
            <a:ext uri="{FF2B5EF4-FFF2-40B4-BE49-F238E27FC236}">
              <a16:creationId xmlns:a16="http://schemas.microsoft.com/office/drawing/2014/main" id="{EA3CE26A-7825-49CD-A5BA-17B19B0923EF}"/>
            </a:ext>
          </a:extLst>
        </xdr:cNvPr>
        <xdr:cNvSpPr/>
      </xdr:nvSpPr>
      <xdr:spPr>
        <a:xfrm>
          <a:off x="2722563" y="801688"/>
          <a:ext cx="1773823" cy="888891"/>
        </a:xfrm>
        <a:prstGeom prst="rect">
          <a:avLst/>
        </a:prstGeom>
        <a:solidFill>
          <a:srgbClr val="F9D5BD"/>
        </a:solidFill>
        <a:ln w="50800">
          <a:solidFill>
            <a:srgbClr val="C6591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a:solidFill>
                <a:srgbClr val="632D09"/>
              </a:solidFill>
              <a:effectLst/>
              <a:latin typeface="+mn-lt"/>
              <a:ea typeface="+mn-ea"/>
              <a:cs typeface="+mn-cs"/>
            </a:rPr>
            <a:t>Total  Sales: </a:t>
          </a:r>
          <a:fld id="{0892E5F4-0225-4039-A5B4-72532B909EE0}" type="TxLink">
            <a:rPr lang="en-US" sz="2000" b="0" i="0" u="none" strike="noStrike">
              <a:solidFill>
                <a:srgbClr val="632D09"/>
              </a:solidFill>
              <a:latin typeface="Calibri"/>
              <a:cs typeface="Calibri"/>
            </a:rPr>
            <a:pPr algn="ctr"/>
            <a:t>$45,134</a:t>
          </a:fld>
          <a:endParaRPr lang="en-VG" sz="4000">
            <a:solidFill>
              <a:srgbClr val="632D09"/>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746125</xdr:colOff>
      <xdr:row>11</xdr:row>
      <xdr:rowOff>119062</xdr:rowOff>
    </xdr:from>
    <xdr:to>
      <xdr:col>6</xdr:col>
      <xdr:colOff>111125</xdr:colOff>
      <xdr:row>15</xdr:row>
      <xdr:rowOff>182561</xdr:rowOff>
    </xdr:to>
    <xdr:sp macro="" textlink="$A$4">
      <xdr:nvSpPr>
        <xdr:cNvPr id="4" name="Rectangle 3">
          <a:extLst>
            <a:ext uri="{FF2B5EF4-FFF2-40B4-BE49-F238E27FC236}">
              <a16:creationId xmlns:a16="http://schemas.microsoft.com/office/drawing/2014/main" id="{B99DD813-56A2-4168-BA09-3BDA12B5BE9D}"/>
            </a:ext>
          </a:extLst>
        </xdr:cNvPr>
        <xdr:cNvSpPr/>
      </xdr:nvSpPr>
      <xdr:spPr>
        <a:xfrm>
          <a:off x="3905250" y="2127250"/>
          <a:ext cx="1603375" cy="793749"/>
        </a:xfrm>
        <a:prstGeom prst="rect">
          <a:avLst/>
        </a:prstGeom>
        <a:solidFill>
          <a:srgbClr val="F9D5BD"/>
        </a:solidFill>
        <a:ln w="50800">
          <a:solidFill>
            <a:srgbClr val="C6591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C65911"/>
              </a:solidFill>
              <a:latin typeface="Calibri"/>
              <a:cs typeface="Calibri"/>
            </a:rPr>
            <a:t>Top</a:t>
          </a:r>
          <a:r>
            <a:rPr lang="en-US" sz="1800" b="0" i="0" u="none" strike="noStrike" baseline="0">
              <a:solidFill>
                <a:srgbClr val="C65911"/>
              </a:solidFill>
              <a:latin typeface="Calibri"/>
              <a:cs typeface="Calibri"/>
            </a:rPr>
            <a:t> Month:</a:t>
          </a:r>
        </a:p>
        <a:p>
          <a:pPr algn="l"/>
          <a:fld id="{643A474C-C7E3-438D-9DA9-D34EC8A39AFE}" type="TxLink">
            <a:rPr lang="en-US" sz="1800" b="0" i="0" u="none" strike="noStrike">
              <a:solidFill>
                <a:srgbClr val="C65911"/>
              </a:solidFill>
              <a:latin typeface="Calibri"/>
              <a:cs typeface="Calibri"/>
            </a:rPr>
            <a:pPr algn="l"/>
            <a:t>Jun</a:t>
          </a:fld>
          <a:endParaRPr lang="en-VG" sz="3600">
            <a:solidFill>
              <a:srgbClr val="C6591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555625</xdr:colOff>
      <xdr:row>7</xdr:row>
      <xdr:rowOff>142874</xdr:rowOff>
    </xdr:from>
    <xdr:to>
      <xdr:col>6</xdr:col>
      <xdr:colOff>55563</xdr:colOff>
      <xdr:row>12</xdr:row>
      <xdr:rowOff>47624</xdr:rowOff>
    </xdr:to>
    <xdr:sp macro="" textlink="$A$4">
      <xdr:nvSpPr>
        <xdr:cNvPr id="3" name="Rectangle 2">
          <a:extLst>
            <a:ext uri="{FF2B5EF4-FFF2-40B4-BE49-F238E27FC236}">
              <a16:creationId xmlns:a16="http://schemas.microsoft.com/office/drawing/2014/main" id="{017A3C17-79BA-438A-9312-159548698150}"/>
            </a:ext>
          </a:extLst>
        </xdr:cNvPr>
        <xdr:cNvSpPr/>
      </xdr:nvSpPr>
      <xdr:spPr>
        <a:xfrm>
          <a:off x="4460875" y="1420812"/>
          <a:ext cx="1738313" cy="817562"/>
        </a:xfrm>
        <a:prstGeom prst="rect">
          <a:avLst/>
        </a:prstGeom>
        <a:solidFill>
          <a:srgbClr val="F9D5BD"/>
        </a:solidFill>
        <a:ln w="50800">
          <a:solidFill>
            <a:srgbClr val="C6591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C65911"/>
              </a:solidFill>
              <a:latin typeface="Calibri"/>
              <a:cs typeface="Calibri"/>
            </a:rPr>
            <a:t>Total</a:t>
          </a:r>
          <a:r>
            <a:rPr lang="en-US" sz="1800" b="0" i="0" u="none" strike="noStrike" baseline="0">
              <a:solidFill>
                <a:srgbClr val="C65911"/>
              </a:solidFill>
              <a:latin typeface="Calibri"/>
              <a:cs typeface="Calibri"/>
            </a:rPr>
            <a:t> Customer:</a:t>
          </a:r>
        </a:p>
        <a:p>
          <a:pPr algn="l"/>
          <a:fld id="{0764177A-1A17-4C31-A213-AD0C75D0697F}" type="TxLink">
            <a:rPr lang="en-US" sz="1800" b="0" i="0" u="none" strike="noStrike">
              <a:solidFill>
                <a:srgbClr val="C65911"/>
              </a:solidFill>
              <a:latin typeface="Calibri"/>
              <a:cs typeface="Calibri"/>
            </a:rPr>
            <a:pPr algn="l"/>
            <a:t>00246-15080-LE</a:t>
          </a:fld>
          <a:endParaRPr lang="en-VG" sz="5400">
            <a:solidFill>
              <a:srgbClr val="C6591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434340</xdr:colOff>
      <xdr:row>8</xdr:row>
      <xdr:rowOff>49530</xdr:rowOff>
    </xdr:from>
    <xdr:to>
      <xdr:col>15</xdr:col>
      <xdr:colOff>304800</xdr:colOff>
      <xdr:row>23</xdr:row>
      <xdr:rowOff>49530</xdr:rowOff>
    </xdr:to>
    <xdr:graphicFrame macro="">
      <xdr:nvGraphicFramePr>
        <xdr:cNvPr id="7" name="Chart 6">
          <a:extLst>
            <a:ext uri="{FF2B5EF4-FFF2-40B4-BE49-F238E27FC236}">
              <a16:creationId xmlns:a16="http://schemas.microsoft.com/office/drawing/2014/main" id="{EEE228F4-4AFA-A0E4-2BE0-6A8042235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118110</xdr:colOff>
      <xdr:row>8</xdr:row>
      <xdr:rowOff>49530</xdr:rowOff>
    </xdr:from>
    <xdr:to>
      <xdr:col>13</xdr:col>
      <xdr:colOff>381000</xdr:colOff>
      <xdr:row>24</xdr:row>
      <xdr:rowOff>53340</xdr:rowOff>
    </xdr:to>
    <xdr:graphicFrame macro="">
      <xdr:nvGraphicFramePr>
        <xdr:cNvPr id="3" name="Chart 2">
          <a:extLst>
            <a:ext uri="{FF2B5EF4-FFF2-40B4-BE49-F238E27FC236}">
              <a16:creationId xmlns:a16="http://schemas.microsoft.com/office/drawing/2014/main" id="{28E6B056-92AB-62A5-85B8-D93780B6A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xdr:colOff>
      <xdr:row>1</xdr:row>
      <xdr:rowOff>7619</xdr:rowOff>
    </xdr:from>
    <xdr:to>
      <xdr:col>19</xdr:col>
      <xdr:colOff>272143</xdr:colOff>
      <xdr:row>5</xdr:row>
      <xdr:rowOff>163286</xdr:rowOff>
    </xdr:to>
    <xdr:sp macro="" textlink="">
      <xdr:nvSpPr>
        <xdr:cNvPr id="3" name="Rectangle 2">
          <a:extLst>
            <a:ext uri="{FF2B5EF4-FFF2-40B4-BE49-F238E27FC236}">
              <a16:creationId xmlns:a16="http://schemas.microsoft.com/office/drawing/2014/main" id="{6F40F147-915B-57CE-AB5E-DB8ADEF78F87}"/>
            </a:ext>
          </a:extLst>
        </xdr:cNvPr>
        <xdr:cNvSpPr/>
      </xdr:nvSpPr>
      <xdr:spPr>
        <a:xfrm>
          <a:off x="117930" y="71119"/>
          <a:ext cx="11212284" cy="881381"/>
        </a:xfrm>
        <a:prstGeom prst="rect">
          <a:avLst/>
        </a:prstGeom>
        <a:solidFill>
          <a:srgbClr val="C6591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0"/>
            <a:t>COFFEE</a:t>
          </a:r>
          <a:r>
            <a:rPr lang="en-US" sz="4800" b="0" baseline="0"/>
            <a:t> SALES DASHBOARD</a:t>
          </a:r>
          <a:endParaRPr lang="en-VG" sz="5400" b="0"/>
        </a:p>
      </xdr:txBody>
    </xdr:sp>
    <xdr:clientData/>
  </xdr:twoCellAnchor>
  <xdr:twoCellAnchor editAs="oneCell">
    <xdr:from>
      <xdr:col>0</xdr:col>
      <xdr:colOff>95249</xdr:colOff>
      <xdr:row>6</xdr:row>
      <xdr:rowOff>38099</xdr:rowOff>
    </xdr:from>
    <xdr:to>
      <xdr:col>19</xdr:col>
      <xdr:colOff>263072</xdr:colOff>
      <xdr:row>15</xdr:row>
      <xdr:rowOff>63500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E2290C08-49C0-4D00-8B85-6D2F76A1CD1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5249" y="997323"/>
              <a:ext cx="11212606" cy="1632698"/>
            </a:xfrm>
            <a:prstGeom prst="rect">
              <a:avLst/>
            </a:prstGeom>
            <a:solidFill>
              <a:prstClr val="white"/>
            </a:solidFill>
            <a:ln w="1">
              <a:solidFill>
                <a:prstClr val="green"/>
              </a:solidFill>
            </a:ln>
          </xdr:spPr>
          <xdr:txBody>
            <a:bodyPr vertOverflow="clip" horzOverflow="clip"/>
            <a:lstStyle/>
            <a:p>
              <a:r>
                <a:rPr lang="en-VG" sz="1100"/>
                <a:t>Timeline: Works in Excel 2013 or higher. Do not move or resize.</a:t>
              </a:r>
            </a:p>
          </xdr:txBody>
        </xdr:sp>
      </mc:Fallback>
    </mc:AlternateContent>
    <xdr:clientData/>
  </xdr:twoCellAnchor>
  <xdr:twoCellAnchor editAs="oneCell">
    <xdr:from>
      <xdr:col>19</xdr:col>
      <xdr:colOff>352423</xdr:colOff>
      <xdr:row>1</xdr:row>
      <xdr:rowOff>19050</xdr:rowOff>
    </xdr:from>
    <xdr:to>
      <xdr:col>28</xdr:col>
      <xdr:colOff>17929</xdr:colOff>
      <xdr:row>5</xdr:row>
      <xdr:rowOff>107578</xdr:rowOff>
    </xdr:to>
    <mc:AlternateContent xmlns:mc="http://schemas.openxmlformats.org/markup-compatibility/2006" xmlns:a14="http://schemas.microsoft.com/office/drawing/2010/main">
      <mc:Choice Requires="a14">
        <xdr:graphicFrame macro="">
          <xdr:nvGraphicFramePr>
            <xdr:cNvPr id="5" name="Roast Type Name 1">
              <a:extLst>
                <a:ext uri="{FF2B5EF4-FFF2-40B4-BE49-F238E27FC236}">
                  <a16:creationId xmlns:a16="http://schemas.microsoft.com/office/drawing/2014/main" id="{99645D81-BD8B-4FA7-A08D-D409D5DBF64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450729" y="81803"/>
              <a:ext cx="5151906" cy="805704"/>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403412</xdr:colOff>
      <xdr:row>5</xdr:row>
      <xdr:rowOff>146891</xdr:rowOff>
    </xdr:from>
    <xdr:to>
      <xdr:col>28</xdr:col>
      <xdr:colOff>0</xdr:colOff>
      <xdr:row>11</xdr:row>
      <xdr:rowOff>116541</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87DAF593-C45C-4039-8FAA-F7EAFD4105C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940118" y="936252"/>
              <a:ext cx="2662517" cy="1035983"/>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344020</xdr:colOff>
      <xdr:row>5</xdr:row>
      <xdr:rowOff>147357</xdr:rowOff>
    </xdr:from>
    <xdr:to>
      <xdr:col>23</xdr:col>
      <xdr:colOff>339686</xdr:colOff>
      <xdr:row>11</xdr:row>
      <xdr:rowOff>100988</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76A1ED62-6E73-474F-91E3-6EB1615FF15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442326" y="927287"/>
              <a:ext cx="2444003" cy="1062878"/>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18142</xdr:colOff>
      <xdr:row>15</xdr:row>
      <xdr:rowOff>137711</xdr:rowOff>
    </xdr:from>
    <xdr:to>
      <xdr:col>19</xdr:col>
      <xdr:colOff>220338</xdr:colOff>
      <xdr:row>37</xdr:row>
      <xdr:rowOff>171449</xdr:rowOff>
    </xdr:to>
    <xdr:graphicFrame macro="">
      <xdr:nvGraphicFramePr>
        <xdr:cNvPr id="8" name="Chart 7">
          <a:extLst>
            <a:ext uri="{FF2B5EF4-FFF2-40B4-BE49-F238E27FC236}">
              <a16:creationId xmlns:a16="http://schemas.microsoft.com/office/drawing/2014/main" id="{A046A687-39A2-4FF6-97B7-EB1C7AA13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331479</xdr:colOff>
      <xdr:row>17</xdr:row>
      <xdr:rowOff>27544</xdr:rowOff>
    </xdr:from>
    <xdr:to>
      <xdr:col>28</xdr:col>
      <xdr:colOff>18361</xdr:colOff>
      <xdr:row>26</xdr:row>
      <xdr:rowOff>91807</xdr:rowOff>
    </xdr:to>
    <xdr:graphicFrame macro="">
      <xdr:nvGraphicFramePr>
        <xdr:cNvPr id="9" name="Chart 8">
          <a:extLst>
            <a:ext uri="{FF2B5EF4-FFF2-40B4-BE49-F238E27FC236}">
              <a16:creationId xmlns:a16="http://schemas.microsoft.com/office/drawing/2014/main" id="{4DFBC81E-9240-4E6D-8794-99CBB4767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343932</xdr:colOff>
      <xdr:row>26</xdr:row>
      <xdr:rowOff>152185</xdr:rowOff>
    </xdr:from>
    <xdr:to>
      <xdr:col>28</xdr:col>
      <xdr:colOff>44176</xdr:colOff>
      <xdr:row>38</xdr:row>
      <xdr:rowOff>8750</xdr:rowOff>
    </xdr:to>
    <xdr:graphicFrame macro="">
      <xdr:nvGraphicFramePr>
        <xdr:cNvPr id="10" name="Chart 9">
          <a:extLst>
            <a:ext uri="{FF2B5EF4-FFF2-40B4-BE49-F238E27FC236}">
              <a16:creationId xmlns:a16="http://schemas.microsoft.com/office/drawing/2014/main" id="{F6D64ABA-CF67-46E0-BBC4-52FFBAE2F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338416</xdr:colOff>
      <xdr:row>11</xdr:row>
      <xdr:rowOff>150052</xdr:rowOff>
    </xdr:from>
    <xdr:to>
      <xdr:col>27</xdr:col>
      <xdr:colOff>600636</xdr:colOff>
      <xdr:row>16</xdr:row>
      <xdr:rowOff>143329</xdr:rowOff>
    </xdr:to>
    <mc:AlternateContent xmlns:mc="http://schemas.openxmlformats.org/markup-compatibility/2006" xmlns:a14="http://schemas.microsoft.com/office/drawing/2010/main">
      <mc:Choice Requires="a14">
        <xdr:graphicFrame macro="">
          <xdr:nvGraphicFramePr>
            <xdr:cNvPr id="12" name="Coffee Type Name 1">
              <a:extLst>
                <a:ext uri="{FF2B5EF4-FFF2-40B4-BE49-F238E27FC236}">
                  <a16:creationId xmlns:a16="http://schemas.microsoft.com/office/drawing/2014/main" id="{DD36B972-BFBB-4B1D-BE65-88A6574B606E}"/>
                </a:ext>
              </a:extLst>
            </xdr:cNvPr>
            <xdr:cNvGraphicFramePr/>
          </xdr:nvGraphicFramePr>
          <xdr:xfrm>
            <a:off x="0" y="0"/>
            <a:ext cx="0" cy="0"/>
          </xdr:xfrm>
          <a:graphic>
            <a:graphicData uri="http://schemas.microsoft.com/office/drawing/2010/slicer">
              <sle:slicer xmlns:sle="http://schemas.microsoft.com/office/drawing/2010/slicer" name="Coffee Type Name 1"/>
            </a:graphicData>
          </a:graphic>
        </xdr:graphicFrame>
      </mc:Choice>
      <mc:Fallback xmlns="">
        <xdr:sp macro="" textlink="">
          <xdr:nvSpPr>
            <xdr:cNvPr id="0" name=""/>
            <xdr:cNvSpPr>
              <a:spLocks noTextEdit="1"/>
            </xdr:cNvSpPr>
          </xdr:nvSpPr>
          <xdr:spPr>
            <a:xfrm>
              <a:off x="11364464" y="2050462"/>
              <a:ext cx="5109642" cy="911349"/>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80683</xdr:colOff>
      <xdr:row>15</xdr:row>
      <xdr:rowOff>169653</xdr:rowOff>
    </xdr:from>
    <xdr:to>
      <xdr:col>3</xdr:col>
      <xdr:colOff>523301</xdr:colOff>
      <xdr:row>20</xdr:row>
      <xdr:rowOff>131670</xdr:rowOff>
    </xdr:to>
    <xdr:sp macro="" textlink="Total_Sales_Value!$A$4">
      <xdr:nvSpPr>
        <xdr:cNvPr id="2" name="Rectangle 1">
          <a:extLst>
            <a:ext uri="{FF2B5EF4-FFF2-40B4-BE49-F238E27FC236}">
              <a16:creationId xmlns:a16="http://schemas.microsoft.com/office/drawing/2014/main" id="{B4187860-3768-4B4E-BA94-062D5B96104E}"/>
            </a:ext>
          </a:extLst>
        </xdr:cNvPr>
        <xdr:cNvSpPr/>
      </xdr:nvSpPr>
      <xdr:spPr>
        <a:xfrm>
          <a:off x="80683" y="2804520"/>
          <a:ext cx="1773823" cy="880090"/>
        </a:xfrm>
        <a:prstGeom prst="rect">
          <a:avLst/>
        </a:prstGeom>
        <a:solidFill>
          <a:srgbClr val="F9D5BD"/>
        </a:solidFill>
        <a:ln w="50800">
          <a:solidFill>
            <a:srgbClr val="C6591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a:solidFill>
                <a:srgbClr val="632D09"/>
              </a:solidFill>
              <a:effectLst/>
              <a:latin typeface="+mn-lt"/>
              <a:ea typeface="+mn-ea"/>
              <a:cs typeface="+mn-cs"/>
            </a:rPr>
            <a:t>Total Sales: </a:t>
          </a:r>
          <a:fld id="{38189424-F0CB-4205-B6BC-B8D205213120}" type="TxLink">
            <a:rPr lang="en-US" sz="1800" b="0" i="0" u="none" strike="noStrike">
              <a:solidFill>
                <a:srgbClr val="632D09"/>
              </a:solidFill>
              <a:effectLst/>
              <a:latin typeface="Calibri"/>
              <a:ea typeface="+mn-ea"/>
              <a:cs typeface="Calibri"/>
            </a:rPr>
            <a:t>$11,768</a:t>
          </a:fld>
          <a:endParaRPr lang="en-VG" sz="34400">
            <a:solidFill>
              <a:srgbClr val="632D09"/>
            </a:solidFill>
          </a:endParaRPr>
        </a:p>
      </xdr:txBody>
    </xdr:sp>
    <xdr:clientData/>
  </xdr:twoCellAnchor>
  <xdr:twoCellAnchor>
    <xdr:from>
      <xdr:col>0</xdr:col>
      <xdr:colOff>108111</xdr:colOff>
      <xdr:row>26</xdr:row>
      <xdr:rowOff>144608</xdr:rowOff>
    </xdr:from>
    <xdr:to>
      <xdr:col>3</xdr:col>
      <xdr:colOff>508000</xdr:colOff>
      <xdr:row>31</xdr:row>
      <xdr:rowOff>181428</xdr:rowOff>
    </xdr:to>
    <xdr:sp macro="" textlink="Top_Month!$A$4">
      <xdr:nvSpPr>
        <xdr:cNvPr id="11" name="Rectangle 10">
          <a:extLst>
            <a:ext uri="{FF2B5EF4-FFF2-40B4-BE49-F238E27FC236}">
              <a16:creationId xmlns:a16="http://schemas.microsoft.com/office/drawing/2014/main" id="{0FA08CE7-4872-47C1-8E2B-CDD734E43FBC}"/>
            </a:ext>
          </a:extLst>
        </xdr:cNvPr>
        <xdr:cNvSpPr/>
      </xdr:nvSpPr>
      <xdr:spPr>
        <a:xfrm>
          <a:off x="108111" y="4743822"/>
          <a:ext cx="1733389" cy="943963"/>
        </a:xfrm>
        <a:prstGeom prst="rect">
          <a:avLst/>
        </a:prstGeom>
        <a:solidFill>
          <a:srgbClr val="F9D5BD"/>
        </a:solidFill>
        <a:ln w="50800">
          <a:solidFill>
            <a:srgbClr val="C6591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a:solidFill>
                <a:srgbClr val="632D09"/>
              </a:solidFill>
              <a:effectLst/>
              <a:latin typeface="+mn-lt"/>
              <a:ea typeface="+mn-ea"/>
              <a:cs typeface="+mn-cs"/>
            </a:rPr>
            <a:t>Top Month: </a:t>
          </a:r>
          <a:fld id="{915C5F46-C680-43D1-84BF-27A52232D641}" type="TxLink">
            <a:rPr lang="en-US" sz="1800" b="0" i="0" u="none" strike="noStrike">
              <a:solidFill>
                <a:srgbClr val="632D09"/>
              </a:solidFill>
              <a:effectLst/>
              <a:latin typeface="Calibri"/>
              <a:ea typeface="+mn-ea"/>
              <a:cs typeface="Calibri"/>
            </a:rPr>
            <a:t>Feb</a:t>
          </a:fld>
          <a:endParaRPr lang="en-VG" sz="71400">
            <a:solidFill>
              <a:srgbClr val="632D09"/>
            </a:solidFill>
          </a:endParaRPr>
        </a:p>
      </xdr:txBody>
    </xdr:sp>
    <xdr:clientData/>
  </xdr:twoCellAnchor>
  <xdr:twoCellAnchor>
    <xdr:from>
      <xdr:col>0</xdr:col>
      <xdr:colOff>99145</xdr:colOff>
      <xdr:row>32</xdr:row>
      <xdr:rowOff>89538</xdr:rowOff>
    </xdr:from>
    <xdr:to>
      <xdr:col>3</xdr:col>
      <xdr:colOff>508001</xdr:colOff>
      <xdr:row>37</xdr:row>
      <xdr:rowOff>163284</xdr:rowOff>
    </xdr:to>
    <xdr:sp macro="" textlink="'Total _Customer'!$E$909">
      <xdr:nvSpPr>
        <xdr:cNvPr id="13" name="Rectangle 12">
          <a:extLst>
            <a:ext uri="{FF2B5EF4-FFF2-40B4-BE49-F238E27FC236}">
              <a16:creationId xmlns:a16="http://schemas.microsoft.com/office/drawing/2014/main" id="{8C1F57A5-8F29-492D-9735-47FCE26AC7EF}"/>
            </a:ext>
          </a:extLst>
        </xdr:cNvPr>
        <xdr:cNvSpPr/>
      </xdr:nvSpPr>
      <xdr:spPr>
        <a:xfrm>
          <a:off x="99145" y="5710409"/>
          <a:ext cx="1753562" cy="970216"/>
        </a:xfrm>
        <a:prstGeom prst="rect">
          <a:avLst/>
        </a:prstGeom>
        <a:solidFill>
          <a:srgbClr val="F9D5BD"/>
        </a:solidFill>
        <a:ln w="50800">
          <a:solidFill>
            <a:srgbClr val="C6591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a:solidFill>
                <a:srgbClr val="632D09"/>
              </a:solidFill>
              <a:effectLst/>
              <a:latin typeface="+mn-lt"/>
              <a:ea typeface="+mn-ea"/>
              <a:cs typeface="+mn-cs"/>
            </a:rPr>
            <a:t>Total Customer:  </a:t>
          </a:r>
          <a:fld id="{BE641FB9-68BC-4207-8169-5C307A046865}" type="TxLink">
            <a:rPr lang="en-US" sz="1800" b="0" i="0" u="none" strike="noStrike">
              <a:solidFill>
                <a:srgbClr val="632D09"/>
              </a:solidFill>
              <a:effectLst/>
              <a:latin typeface="Calibri"/>
              <a:ea typeface="+mn-ea"/>
              <a:cs typeface="Calibri"/>
            </a:rPr>
            <a:t>258</a:t>
          </a:fld>
          <a:endParaRPr lang="en-VG" sz="255800">
            <a:solidFill>
              <a:srgbClr val="632D09"/>
            </a:solidFill>
          </a:endParaRPr>
        </a:p>
      </xdr:txBody>
    </xdr:sp>
    <xdr:clientData/>
  </xdr:twoCellAnchor>
  <xdr:twoCellAnchor>
    <xdr:from>
      <xdr:col>0</xdr:col>
      <xdr:colOff>99786</xdr:colOff>
      <xdr:row>21</xdr:row>
      <xdr:rowOff>54428</xdr:rowOff>
    </xdr:from>
    <xdr:to>
      <xdr:col>3</xdr:col>
      <xdr:colOff>507999</xdr:colOff>
      <xdr:row>26</xdr:row>
      <xdr:rowOff>36286</xdr:rowOff>
    </xdr:to>
    <xdr:sp macro="" textlink="Top_Cofee!$A$4">
      <xdr:nvSpPr>
        <xdr:cNvPr id="14" name="Rectangle 13">
          <a:extLst>
            <a:ext uri="{FF2B5EF4-FFF2-40B4-BE49-F238E27FC236}">
              <a16:creationId xmlns:a16="http://schemas.microsoft.com/office/drawing/2014/main" id="{66BD8BCA-677D-4DC7-8AF0-1D5176BAE32A}"/>
            </a:ext>
          </a:extLst>
        </xdr:cNvPr>
        <xdr:cNvSpPr/>
      </xdr:nvSpPr>
      <xdr:spPr>
        <a:xfrm>
          <a:off x="99786" y="3703063"/>
          <a:ext cx="1752919" cy="878329"/>
        </a:xfrm>
        <a:prstGeom prst="rect">
          <a:avLst/>
        </a:prstGeom>
        <a:solidFill>
          <a:srgbClr val="F9D5BD"/>
        </a:solidFill>
        <a:ln w="50800">
          <a:solidFill>
            <a:srgbClr val="C6591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a:solidFill>
                <a:srgbClr val="632D09"/>
              </a:solidFill>
              <a:effectLst/>
              <a:latin typeface="+mn-lt"/>
              <a:ea typeface="+mn-ea"/>
              <a:cs typeface="+mn-cs"/>
            </a:rPr>
            <a:t>Most</a:t>
          </a:r>
          <a:r>
            <a:rPr lang="en-US" sz="1800" b="0" i="0" baseline="0">
              <a:solidFill>
                <a:srgbClr val="632D09"/>
              </a:solidFill>
              <a:effectLst/>
              <a:latin typeface="+mn-lt"/>
              <a:ea typeface="+mn-ea"/>
              <a:cs typeface="+mn-cs"/>
            </a:rPr>
            <a:t> Popular Coffee: </a:t>
          </a:r>
          <a:fld id="{16D8D2A4-6F2B-4B78-8D8C-243D5A97897E}" type="TxLink">
            <a:rPr lang="en-US" sz="1800" b="0" i="0" u="none" strike="noStrike">
              <a:solidFill>
                <a:srgbClr val="632D09"/>
              </a:solidFill>
              <a:effectLst/>
              <a:latin typeface="Calibri"/>
              <a:ea typeface="+mn-ea"/>
              <a:cs typeface="Calibri"/>
            </a:rPr>
            <a:t>Arabica</a:t>
          </a:fld>
          <a:endParaRPr lang="en-US" sz="11500">
            <a:solidFill>
              <a:srgbClr val="632D09"/>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1.10320208333" createdVersion="8" refreshedVersion="8" minRefreshableVersion="3" recordCount="1000" xr:uid="{060D50BB-6958-43AB-AFBE-E51FBC111EA2}">
  <cacheSource type="worksheet">
    <worksheetSource name="Orders_Table"/>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541506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x v="0"/>
    <s v="M"/>
    <x v="0"/>
    <n v="9.9499999999999993"/>
    <x v="0"/>
    <x v="0"/>
    <x v="0"/>
    <x v="0"/>
  </r>
  <r>
    <s v="QEV-37451-860"/>
    <x v="0"/>
    <x v="0"/>
    <s v="E-M-0.5"/>
    <n v="5"/>
    <x v="0"/>
    <s v="aallner0@lulu.com"/>
    <x v="0"/>
    <x v="1"/>
    <s v="M"/>
    <x v="1"/>
    <n v="8.25"/>
    <x v="1"/>
    <x v="1"/>
    <x v="0"/>
    <x v="0"/>
  </r>
  <r>
    <s v="FAA-43335-268"/>
    <x v="1"/>
    <x v="1"/>
    <s v="A-L-1"/>
    <n v="1"/>
    <x v="1"/>
    <s v="jredholes2@tmall.com"/>
    <x v="0"/>
    <x v="2"/>
    <s v="L"/>
    <x v="0"/>
    <n v="12.95"/>
    <x v="2"/>
    <x v="2"/>
    <x v="1"/>
    <x v="0"/>
  </r>
  <r>
    <s v="KAC-83089-793"/>
    <x v="2"/>
    <x v="2"/>
    <s v="E-M-1"/>
    <n v="2"/>
    <x v="2"/>
    <s v=""/>
    <x v="1"/>
    <x v="1"/>
    <s v="M"/>
    <x v="0"/>
    <n v="13.75"/>
    <x v="3"/>
    <x v="1"/>
    <x v="0"/>
    <x v="1"/>
  </r>
  <r>
    <s v="KAC-83089-793"/>
    <x v="2"/>
    <x v="2"/>
    <s v="R-L-2.5"/>
    <n v="2"/>
    <x v="2"/>
    <s v=""/>
    <x v="1"/>
    <x v="0"/>
    <s v="L"/>
    <x v="2"/>
    <n v="27.484999999999996"/>
    <x v="4"/>
    <x v="0"/>
    <x v="1"/>
    <x v="1"/>
  </r>
  <r>
    <s v="CVP-18956-553"/>
    <x v="3"/>
    <x v="3"/>
    <s v="L-D-1"/>
    <n v="3"/>
    <x v="3"/>
    <s v=""/>
    <x v="0"/>
    <x v="3"/>
    <s v="D"/>
    <x v="0"/>
    <n v="12.95"/>
    <x v="5"/>
    <x v="3"/>
    <x v="2"/>
    <x v="1"/>
  </r>
  <r>
    <s v="IPP-31994-879"/>
    <x v="4"/>
    <x v="4"/>
    <s v="E-D-0.5"/>
    <n v="3"/>
    <x v="4"/>
    <s v="slobe6@nifty.com"/>
    <x v="0"/>
    <x v="1"/>
    <s v="D"/>
    <x v="1"/>
    <n v="7.29"/>
    <x v="6"/>
    <x v="1"/>
    <x v="2"/>
    <x v="0"/>
  </r>
  <r>
    <s v="SNZ-65340-705"/>
    <x v="5"/>
    <x v="5"/>
    <s v="L-L-0.2"/>
    <n v="1"/>
    <x v="5"/>
    <s v=""/>
    <x v="1"/>
    <x v="3"/>
    <s v="L"/>
    <x v="3"/>
    <n v="4.7549999999999999"/>
    <x v="7"/>
    <x v="3"/>
    <x v="1"/>
    <x v="0"/>
  </r>
  <r>
    <s v="EZT-46571-659"/>
    <x v="6"/>
    <x v="6"/>
    <s v="R-M-0.5"/>
    <n v="3"/>
    <x v="6"/>
    <s v="gpetracci8@livejournal.com"/>
    <x v="0"/>
    <x v="0"/>
    <s v="M"/>
    <x v="1"/>
    <n v="5.97"/>
    <x v="8"/>
    <x v="0"/>
    <x v="0"/>
    <x v="1"/>
  </r>
  <r>
    <s v="NWQ-70061-912"/>
    <x v="0"/>
    <x v="7"/>
    <s v="R-M-0.5"/>
    <n v="1"/>
    <x v="7"/>
    <s v="rraven9@ed.gov"/>
    <x v="0"/>
    <x v="0"/>
    <s v="M"/>
    <x v="1"/>
    <n v="5.97"/>
    <x v="9"/>
    <x v="0"/>
    <x v="0"/>
    <x v="1"/>
  </r>
  <r>
    <s v="BKK-47233-845"/>
    <x v="7"/>
    <x v="8"/>
    <s v="A-D-1"/>
    <n v="4"/>
    <x v="8"/>
    <s v="fferbera@businesswire.com"/>
    <x v="0"/>
    <x v="2"/>
    <s v="D"/>
    <x v="0"/>
    <n v="9.9499999999999993"/>
    <x v="10"/>
    <x v="2"/>
    <x v="2"/>
    <x v="1"/>
  </r>
  <r>
    <s v="VQR-01002-970"/>
    <x v="8"/>
    <x v="9"/>
    <s v="E-L-2.5"/>
    <n v="5"/>
    <x v="9"/>
    <s v="dphizackerlyb@utexas.edu"/>
    <x v="0"/>
    <x v="1"/>
    <s v="L"/>
    <x v="2"/>
    <n v="34.154999999999994"/>
    <x v="11"/>
    <x v="1"/>
    <x v="1"/>
    <x v="0"/>
  </r>
  <r>
    <s v="SZW-48378-399"/>
    <x v="9"/>
    <x v="10"/>
    <s v="R-M-1"/>
    <n v="5"/>
    <x v="10"/>
    <s v="rscholarc@nyu.edu"/>
    <x v="0"/>
    <x v="0"/>
    <s v="M"/>
    <x v="0"/>
    <n v="9.9499999999999993"/>
    <x v="12"/>
    <x v="0"/>
    <x v="0"/>
    <x v="1"/>
  </r>
  <r>
    <s v="ITA-87418-783"/>
    <x v="10"/>
    <x v="11"/>
    <s v="R-D-2.5"/>
    <n v="2"/>
    <x v="11"/>
    <s v="tvanyutind@wix.com"/>
    <x v="0"/>
    <x v="0"/>
    <s v="D"/>
    <x v="2"/>
    <n v="20.584999999999997"/>
    <x v="13"/>
    <x v="0"/>
    <x v="2"/>
    <x v="1"/>
  </r>
  <r>
    <s v="GNZ-46006-527"/>
    <x v="11"/>
    <x v="12"/>
    <s v="L-D-0.2"/>
    <n v="3"/>
    <x v="12"/>
    <s v="ptrobee@wunderground.com"/>
    <x v="0"/>
    <x v="3"/>
    <s v="D"/>
    <x v="3"/>
    <n v="3.8849999999999998"/>
    <x v="14"/>
    <x v="3"/>
    <x v="2"/>
    <x v="0"/>
  </r>
  <r>
    <s v="FYQ-78248-319"/>
    <x v="12"/>
    <x v="13"/>
    <s v="R-M-2.5"/>
    <n v="5"/>
    <x v="13"/>
    <s v="loscroftf@ebay.co.uk"/>
    <x v="0"/>
    <x v="0"/>
    <s v="M"/>
    <x v="2"/>
    <n v="22.884999999999998"/>
    <x v="15"/>
    <x v="0"/>
    <x v="0"/>
    <x v="1"/>
  </r>
  <r>
    <s v="VAU-44387-624"/>
    <x v="13"/>
    <x v="14"/>
    <s v="A-M-0.2"/>
    <n v="6"/>
    <x v="14"/>
    <s v="malabasterg@hexun.com"/>
    <x v="0"/>
    <x v="2"/>
    <s v="M"/>
    <x v="3"/>
    <n v="3.375"/>
    <x v="16"/>
    <x v="2"/>
    <x v="0"/>
    <x v="1"/>
  </r>
  <r>
    <s v="RDW-33155-159"/>
    <x v="14"/>
    <x v="15"/>
    <s v="A-L-1"/>
    <n v="6"/>
    <x v="15"/>
    <s v="rbroxuph@jimdo.com"/>
    <x v="0"/>
    <x v="2"/>
    <s v="L"/>
    <x v="0"/>
    <n v="12.95"/>
    <x v="17"/>
    <x v="2"/>
    <x v="1"/>
    <x v="1"/>
  </r>
  <r>
    <s v="TDZ-59011-211"/>
    <x v="15"/>
    <x v="16"/>
    <s v="R-D-2.5"/>
    <n v="4"/>
    <x v="16"/>
    <s v="predfordi@ow.ly"/>
    <x v="1"/>
    <x v="0"/>
    <s v="D"/>
    <x v="2"/>
    <n v="20.584999999999997"/>
    <x v="18"/>
    <x v="0"/>
    <x v="2"/>
    <x v="0"/>
  </r>
  <r>
    <s v="IDU-25793-399"/>
    <x v="16"/>
    <x v="17"/>
    <s v="A-M-0.2"/>
    <n v="5"/>
    <x v="17"/>
    <s v="acorradinoj@harvard.edu"/>
    <x v="0"/>
    <x v="2"/>
    <s v="M"/>
    <x v="3"/>
    <n v="3.375"/>
    <x v="19"/>
    <x v="2"/>
    <x v="0"/>
    <x v="0"/>
  </r>
  <r>
    <s v="IDU-25793-399"/>
    <x v="16"/>
    <x v="17"/>
    <s v="E-D-0.2"/>
    <n v="4"/>
    <x v="17"/>
    <s v="acorradinoj@harvard.edu"/>
    <x v="0"/>
    <x v="1"/>
    <s v="D"/>
    <x v="3"/>
    <n v="3.645"/>
    <x v="20"/>
    <x v="1"/>
    <x v="2"/>
    <x v="0"/>
  </r>
  <r>
    <s v="NUO-20013-488"/>
    <x v="16"/>
    <x v="18"/>
    <s v="A-D-0.2"/>
    <n v="6"/>
    <x v="18"/>
    <s v="adavidowskyl@netvibes.com"/>
    <x v="0"/>
    <x v="2"/>
    <s v="D"/>
    <x v="3"/>
    <n v="2.9849999999999999"/>
    <x v="8"/>
    <x v="2"/>
    <x v="2"/>
    <x v="1"/>
  </r>
  <r>
    <s v="UQU-65630-479"/>
    <x v="17"/>
    <x v="19"/>
    <s v="R-M-2.5"/>
    <n v="4"/>
    <x v="19"/>
    <s v="aantukm@kickstarter.com"/>
    <x v="0"/>
    <x v="0"/>
    <s v="M"/>
    <x v="2"/>
    <n v="22.884999999999998"/>
    <x v="21"/>
    <x v="0"/>
    <x v="0"/>
    <x v="0"/>
  </r>
  <r>
    <s v="FEO-11834-332"/>
    <x v="18"/>
    <x v="20"/>
    <s v="A-D-0.2"/>
    <n v="4"/>
    <x v="20"/>
    <s v="ikleinertn@timesonline.co.uk"/>
    <x v="0"/>
    <x v="2"/>
    <s v="D"/>
    <x v="3"/>
    <n v="2.9849999999999999"/>
    <x v="22"/>
    <x v="2"/>
    <x v="2"/>
    <x v="0"/>
  </r>
  <r>
    <s v="TKY-71558-096"/>
    <x v="19"/>
    <x v="21"/>
    <s v="A-M-1"/>
    <n v="1"/>
    <x v="21"/>
    <s v="cblofeldo@amazon.co.uk"/>
    <x v="0"/>
    <x v="2"/>
    <s v="M"/>
    <x v="0"/>
    <n v="11.25"/>
    <x v="23"/>
    <x v="2"/>
    <x v="0"/>
    <x v="1"/>
  </r>
  <r>
    <s v="OXY-65322-253"/>
    <x v="20"/>
    <x v="22"/>
    <s v="E-M-0.2"/>
    <n v="3"/>
    <x v="22"/>
    <s v=""/>
    <x v="0"/>
    <x v="1"/>
    <s v="M"/>
    <x v="3"/>
    <n v="4.125"/>
    <x v="24"/>
    <x v="1"/>
    <x v="0"/>
    <x v="0"/>
  </r>
  <r>
    <s v="EVP-43500-491"/>
    <x v="21"/>
    <x v="23"/>
    <s v="A-M-0.5"/>
    <n v="4"/>
    <x v="23"/>
    <s v="sshalesq@umich.edu"/>
    <x v="0"/>
    <x v="2"/>
    <s v="M"/>
    <x v="1"/>
    <n v="6.75"/>
    <x v="25"/>
    <x v="2"/>
    <x v="0"/>
    <x v="0"/>
  </r>
  <r>
    <s v="WAG-26945-689"/>
    <x v="22"/>
    <x v="24"/>
    <s v="A-M-0.2"/>
    <n v="5"/>
    <x v="24"/>
    <s v="vdanneilr@mtv.com"/>
    <x v="1"/>
    <x v="2"/>
    <s v="M"/>
    <x v="3"/>
    <n v="3.375"/>
    <x v="19"/>
    <x v="2"/>
    <x v="0"/>
    <x v="1"/>
  </r>
  <r>
    <s v="CHE-78995-767"/>
    <x v="23"/>
    <x v="25"/>
    <s v="A-D-0.5"/>
    <n v="3"/>
    <x v="25"/>
    <s v="tnewburys@usda.gov"/>
    <x v="1"/>
    <x v="2"/>
    <s v="D"/>
    <x v="1"/>
    <n v="5.97"/>
    <x v="8"/>
    <x v="2"/>
    <x v="2"/>
    <x v="1"/>
  </r>
  <r>
    <s v="RYZ-14633-602"/>
    <x v="21"/>
    <x v="26"/>
    <s v="A-D-1"/>
    <n v="4"/>
    <x v="26"/>
    <s v="mcalcuttt@baidu.com"/>
    <x v="1"/>
    <x v="2"/>
    <s v="D"/>
    <x v="0"/>
    <n v="9.9499999999999993"/>
    <x v="10"/>
    <x v="2"/>
    <x v="2"/>
    <x v="0"/>
  </r>
  <r>
    <s v="WOQ-36015-429"/>
    <x v="24"/>
    <x v="27"/>
    <s v="L-M-0.2"/>
    <n v="5"/>
    <x v="27"/>
    <s v=""/>
    <x v="0"/>
    <x v="3"/>
    <s v="M"/>
    <x v="3"/>
    <n v="4.3650000000000002"/>
    <x v="26"/>
    <x v="3"/>
    <x v="0"/>
    <x v="1"/>
  </r>
  <r>
    <s v="WOQ-36015-429"/>
    <x v="24"/>
    <x v="27"/>
    <s v="A-D-0.5"/>
    <n v="6"/>
    <x v="27"/>
    <s v=""/>
    <x v="0"/>
    <x v="2"/>
    <s v="D"/>
    <x v="1"/>
    <n v="5.97"/>
    <x v="27"/>
    <x v="2"/>
    <x v="2"/>
    <x v="1"/>
  </r>
  <r>
    <s v="WOQ-36015-429"/>
    <x v="24"/>
    <x v="27"/>
    <s v="L-M-0.5"/>
    <n v="6"/>
    <x v="27"/>
    <s v=""/>
    <x v="0"/>
    <x v="3"/>
    <s v="M"/>
    <x v="1"/>
    <n v="8.73"/>
    <x v="28"/>
    <x v="3"/>
    <x v="0"/>
    <x v="1"/>
  </r>
  <r>
    <s v="SCT-60553-454"/>
    <x v="25"/>
    <x v="28"/>
    <s v="L-L-0.2"/>
    <n v="5"/>
    <x v="28"/>
    <s v="ggatheralx@123-reg.co.uk"/>
    <x v="0"/>
    <x v="3"/>
    <s v="L"/>
    <x v="3"/>
    <n v="4.7549999999999999"/>
    <x v="29"/>
    <x v="3"/>
    <x v="1"/>
    <x v="1"/>
  </r>
  <r>
    <s v="GFK-52063-244"/>
    <x v="26"/>
    <x v="29"/>
    <s v="L-L-0.5"/>
    <n v="6"/>
    <x v="29"/>
    <s v="uwelberryy@ebay.co.uk"/>
    <x v="2"/>
    <x v="3"/>
    <s v="L"/>
    <x v="1"/>
    <n v="9.51"/>
    <x v="30"/>
    <x v="3"/>
    <x v="1"/>
    <x v="0"/>
  </r>
  <r>
    <s v="AMM-79521-378"/>
    <x v="27"/>
    <x v="30"/>
    <s v="A-D-0.5"/>
    <n v="6"/>
    <x v="30"/>
    <s v="feilhartz@who.int"/>
    <x v="0"/>
    <x v="2"/>
    <s v="D"/>
    <x v="1"/>
    <n v="5.97"/>
    <x v="27"/>
    <x v="2"/>
    <x v="2"/>
    <x v="1"/>
  </r>
  <r>
    <s v="QUQ-90580-772"/>
    <x v="28"/>
    <x v="31"/>
    <s v="L-M-0.2"/>
    <n v="2"/>
    <x v="31"/>
    <s v="zponting10@altervista.org"/>
    <x v="0"/>
    <x v="3"/>
    <s v="M"/>
    <x v="3"/>
    <n v="4.3650000000000002"/>
    <x v="31"/>
    <x v="3"/>
    <x v="0"/>
    <x v="1"/>
  </r>
  <r>
    <s v="LGD-24408-274"/>
    <x v="29"/>
    <x v="32"/>
    <s v="L-L-0.5"/>
    <n v="3"/>
    <x v="32"/>
    <s v="sstrase11@booking.com"/>
    <x v="0"/>
    <x v="3"/>
    <s v="L"/>
    <x v="1"/>
    <n v="9.51"/>
    <x v="32"/>
    <x v="3"/>
    <x v="1"/>
    <x v="1"/>
  </r>
  <r>
    <s v="HCT-95608-959"/>
    <x v="30"/>
    <x v="33"/>
    <s v="R-M-2.5"/>
    <n v="5"/>
    <x v="33"/>
    <s v="dde12@unesco.org"/>
    <x v="0"/>
    <x v="0"/>
    <s v="M"/>
    <x v="2"/>
    <n v="22.884999999999998"/>
    <x v="15"/>
    <x v="0"/>
    <x v="0"/>
    <x v="1"/>
  </r>
  <r>
    <s v="OFX-99147-470"/>
    <x v="31"/>
    <x v="34"/>
    <s v="R-M-1"/>
    <n v="6"/>
    <x v="34"/>
    <s v=""/>
    <x v="0"/>
    <x v="0"/>
    <s v="M"/>
    <x v="0"/>
    <n v="9.9499999999999993"/>
    <x v="33"/>
    <x v="0"/>
    <x v="0"/>
    <x v="0"/>
  </r>
  <r>
    <s v="LUO-37559-016"/>
    <x v="32"/>
    <x v="35"/>
    <s v="L-M-1"/>
    <n v="3"/>
    <x v="35"/>
    <s v=""/>
    <x v="0"/>
    <x v="3"/>
    <s v="M"/>
    <x v="0"/>
    <n v="14.55"/>
    <x v="34"/>
    <x v="3"/>
    <x v="0"/>
    <x v="1"/>
  </r>
  <r>
    <s v="XWC-20610-167"/>
    <x v="33"/>
    <x v="36"/>
    <s v="E-D-0.2"/>
    <n v="2"/>
    <x v="36"/>
    <s v="lyeoland15@pbs.org"/>
    <x v="0"/>
    <x v="1"/>
    <s v="D"/>
    <x v="3"/>
    <n v="3.645"/>
    <x v="35"/>
    <x v="1"/>
    <x v="2"/>
    <x v="0"/>
  </r>
  <r>
    <s v="GPU-79113-136"/>
    <x v="34"/>
    <x v="37"/>
    <s v="R-D-0.2"/>
    <n v="3"/>
    <x v="37"/>
    <s v="atolworthy16@toplist.cz"/>
    <x v="0"/>
    <x v="0"/>
    <s v="D"/>
    <x v="3"/>
    <n v="2.6849999999999996"/>
    <x v="36"/>
    <x v="0"/>
    <x v="2"/>
    <x v="0"/>
  </r>
  <r>
    <s v="ULR-52653-960"/>
    <x v="35"/>
    <x v="38"/>
    <s v="L-L-2.5"/>
    <n v="2"/>
    <x v="38"/>
    <s v=""/>
    <x v="0"/>
    <x v="3"/>
    <s v="L"/>
    <x v="2"/>
    <n v="36.454999999999998"/>
    <x v="37"/>
    <x v="3"/>
    <x v="1"/>
    <x v="1"/>
  </r>
  <r>
    <s v="HPI-42308-142"/>
    <x v="36"/>
    <x v="39"/>
    <s v="E-M-0.5"/>
    <n v="2"/>
    <x v="39"/>
    <s v="obaudassi18@seesaa.net"/>
    <x v="0"/>
    <x v="1"/>
    <s v="M"/>
    <x v="1"/>
    <n v="8.25"/>
    <x v="38"/>
    <x v="1"/>
    <x v="0"/>
    <x v="0"/>
  </r>
  <r>
    <s v="XHI-30227-581"/>
    <x v="37"/>
    <x v="40"/>
    <s v="L-D-2.5"/>
    <n v="6"/>
    <x v="40"/>
    <s v="pkingsbury19@comcast.net"/>
    <x v="0"/>
    <x v="3"/>
    <s v="D"/>
    <x v="2"/>
    <n v="29.784999999999997"/>
    <x v="39"/>
    <x v="3"/>
    <x v="2"/>
    <x v="1"/>
  </r>
  <r>
    <s v="DJH-05202-380"/>
    <x v="38"/>
    <x v="41"/>
    <s v="E-M-2.5"/>
    <n v="2"/>
    <x v="41"/>
    <s v=""/>
    <x v="0"/>
    <x v="1"/>
    <s v="M"/>
    <x v="2"/>
    <n v="31.624999999999996"/>
    <x v="40"/>
    <x v="1"/>
    <x v="0"/>
    <x v="0"/>
  </r>
  <r>
    <s v="VMW-26889-781"/>
    <x v="39"/>
    <x v="42"/>
    <s v="A-L-0.2"/>
    <n v="2"/>
    <x v="42"/>
    <s v="acurley1b@hao123.com"/>
    <x v="0"/>
    <x v="2"/>
    <s v="L"/>
    <x v="3"/>
    <n v="3.8849999999999998"/>
    <x v="41"/>
    <x v="2"/>
    <x v="1"/>
    <x v="0"/>
  </r>
  <r>
    <s v="DBU-81099-586"/>
    <x v="40"/>
    <x v="43"/>
    <s v="A-D-2.5"/>
    <n v="4"/>
    <x v="43"/>
    <s v="rmcgilvary1c@tamu.edu"/>
    <x v="0"/>
    <x v="2"/>
    <s v="D"/>
    <x v="2"/>
    <n v="22.884999999999998"/>
    <x v="21"/>
    <x v="2"/>
    <x v="2"/>
    <x v="1"/>
  </r>
  <r>
    <s v="PQA-54820-810"/>
    <x v="41"/>
    <x v="44"/>
    <s v="A-L-1"/>
    <n v="3"/>
    <x v="44"/>
    <s v="ipikett1d@xinhuanet.com"/>
    <x v="0"/>
    <x v="2"/>
    <s v="L"/>
    <x v="0"/>
    <n v="12.95"/>
    <x v="5"/>
    <x v="2"/>
    <x v="1"/>
    <x v="1"/>
  </r>
  <r>
    <s v="XKB-41924-202"/>
    <x v="42"/>
    <x v="45"/>
    <s v="L-D-0.5"/>
    <n v="2"/>
    <x v="45"/>
    <s v="ibouldon1e@gizmodo.com"/>
    <x v="0"/>
    <x v="3"/>
    <s v="D"/>
    <x v="1"/>
    <n v="7.77"/>
    <x v="42"/>
    <x v="3"/>
    <x v="2"/>
    <x v="1"/>
  </r>
  <r>
    <s v="DWZ-69106-473"/>
    <x v="43"/>
    <x v="46"/>
    <s v="L-L-2.5"/>
    <n v="4"/>
    <x v="46"/>
    <s v="kflanders1f@over-blog.com"/>
    <x v="1"/>
    <x v="3"/>
    <s v="L"/>
    <x v="2"/>
    <n v="36.454999999999998"/>
    <x v="43"/>
    <x v="3"/>
    <x v="1"/>
    <x v="0"/>
  </r>
  <r>
    <s v="YHV-68700-050"/>
    <x v="44"/>
    <x v="47"/>
    <s v="R-M-0.5"/>
    <n v="5"/>
    <x v="47"/>
    <s v="hmattioli1g@webmd.com"/>
    <x v="2"/>
    <x v="0"/>
    <s v="M"/>
    <x v="1"/>
    <n v="5.97"/>
    <x v="44"/>
    <x v="0"/>
    <x v="0"/>
    <x v="1"/>
  </r>
  <r>
    <s v="YHV-68700-050"/>
    <x v="44"/>
    <x v="47"/>
    <s v="L-L-2.5"/>
    <n v="2"/>
    <x v="47"/>
    <s v="hmattioli1g@webmd.com"/>
    <x v="2"/>
    <x v="3"/>
    <s v="L"/>
    <x v="2"/>
    <n v="36.454999999999998"/>
    <x v="37"/>
    <x v="3"/>
    <x v="1"/>
    <x v="1"/>
  </r>
  <r>
    <s v="KRB-88066-642"/>
    <x v="45"/>
    <x v="48"/>
    <s v="L-M-1"/>
    <n v="5"/>
    <x v="48"/>
    <s v="agillard1i@issuu.com"/>
    <x v="0"/>
    <x v="3"/>
    <s v="M"/>
    <x v="0"/>
    <n v="14.55"/>
    <x v="45"/>
    <x v="3"/>
    <x v="0"/>
    <x v="1"/>
  </r>
  <r>
    <s v="LQU-08404-173"/>
    <x v="46"/>
    <x v="49"/>
    <s v="L-L-1"/>
    <n v="3"/>
    <x v="49"/>
    <s v=""/>
    <x v="0"/>
    <x v="3"/>
    <s v="L"/>
    <x v="0"/>
    <n v="15.85"/>
    <x v="46"/>
    <x v="3"/>
    <x v="1"/>
    <x v="1"/>
  </r>
  <r>
    <s v="CWK-60159-881"/>
    <x v="47"/>
    <x v="50"/>
    <s v="E-D-0.2"/>
    <n v="3"/>
    <x v="50"/>
    <s v="tgrizard1k@odnoklassniki.ru"/>
    <x v="0"/>
    <x v="1"/>
    <s v="D"/>
    <x v="3"/>
    <n v="3.645"/>
    <x v="47"/>
    <x v="1"/>
    <x v="2"/>
    <x v="0"/>
  </r>
  <r>
    <s v="EEG-74197-843"/>
    <x v="48"/>
    <x v="51"/>
    <s v="E-L-1"/>
    <n v="4"/>
    <x v="51"/>
    <s v="rrelton1l@stanford.edu"/>
    <x v="0"/>
    <x v="1"/>
    <s v="L"/>
    <x v="0"/>
    <n v="14.85"/>
    <x v="48"/>
    <x v="1"/>
    <x v="1"/>
    <x v="1"/>
  </r>
  <r>
    <s v="UCZ-59708-525"/>
    <x v="49"/>
    <x v="52"/>
    <s v="L-D-2.5"/>
    <n v="3"/>
    <x v="52"/>
    <s v=""/>
    <x v="0"/>
    <x v="3"/>
    <s v="D"/>
    <x v="2"/>
    <n v="29.784999999999997"/>
    <x v="49"/>
    <x v="3"/>
    <x v="2"/>
    <x v="0"/>
  </r>
  <r>
    <s v="HUB-47311-849"/>
    <x v="50"/>
    <x v="53"/>
    <s v="L-M-0.5"/>
    <n v="3"/>
    <x v="53"/>
    <s v="sgilroy1n@eepurl.com"/>
    <x v="0"/>
    <x v="3"/>
    <s v="M"/>
    <x v="1"/>
    <n v="8.73"/>
    <x v="50"/>
    <x v="3"/>
    <x v="0"/>
    <x v="0"/>
  </r>
  <r>
    <s v="WYM-17686-694"/>
    <x v="51"/>
    <x v="54"/>
    <s v="A-D-2.5"/>
    <n v="5"/>
    <x v="54"/>
    <s v="ccottingham1o@wikipedia.org"/>
    <x v="0"/>
    <x v="2"/>
    <s v="D"/>
    <x v="2"/>
    <n v="22.884999999999998"/>
    <x v="15"/>
    <x v="2"/>
    <x v="2"/>
    <x v="1"/>
  </r>
  <r>
    <s v="ZYQ-15797-695"/>
    <x v="52"/>
    <x v="55"/>
    <s v="R-D-0.5"/>
    <n v="5"/>
    <x v="55"/>
    <s v=""/>
    <x v="2"/>
    <x v="0"/>
    <s v="D"/>
    <x v="1"/>
    <n v="5.3699999999999992"/>
    <x v="51"/>
    <x v="0"/>
    <x v="2"/>
    <x v="0"/>
  </r>
  <r>
    <s v="EEJ-16185-108"/>
    <x v="53"/>
    <x v="56"/>
    <s v="L-L-0.2"/>
    <n v="5"/>
    <x v="56"/>
    <s v=""/>
    <x v="0"/>
    <x v="3"/>
    <s v="L"/>
    <x v="3"/>
    <n v="4.7549999999999999"/>
    <x v="29"/>
    <x v="3"/>
    <x v="1"/>
    <x v="0"/>
  </r>
  <r>
    <s v="RWR-77888-800"/>
    <x v="54"/>
    <x v="57"/>
    <s v="A-M-0.5"/>
    <n v="1"/>
    <x v="57"/>
    <s v="adykes1r@eventbrite.com"/>
    <x v="0"/>
    <x v="2"/>
    <s v="M"/>
    <x v="1"/>
    <n v="6.75"/>
    <x v="52"/>
    <x v="2"/>
    <x v="0"/>
    <x v="1"/>
  </r>
  <r>
    <s v="LHN-75209-742"/>
    <x v="55"/>
    <x v="58"/>
    <s v="R-M-0.5"/>
    <n v="6"/>
    <x v="58"/>
    <s v=""/>
    <x v="0"/>
    <x v="0"/>
    <s v="M"/>
    <x v="1"/>
    <n v="5.97"/>
    <x v="27"/>
    <x v="0"/>
    <x v="0"/>
    <x v="0"/>
  </r>
  <r>
    <s v="TIR-71396-998"/>
    <x v="56"/>
    <x v="59"/>
    <s v="R-D-2.5"/>
    <n v="4"/>
    <x v="59"/>
    <s v="acockrem1t@engadget.com"/>
    <x v="0"/>
    <x v="0"/>
    <s v="D"/>
    <x v="2"/>
    <n v="20.584999999999997"/>
    <x v="18"/>
    <x v="0"/>
    <x v="2"/>
    <x v="0"/>
  </r>
  <r>
    <s v="RXF-37618-213"/>
    <x v="57"/>
    <x v="60"/>
    <s v="R-L-0.5"/>
    <n v="1"/>
    <x v="60"/>
    <s v="bumpleby1u@soundcloud.com"/>
    <x v="0"/>
    <x v="0"/>
    <s v="L"/>
    <x v="1"/>
    <n v="7.169999999999999"/>
    <x v="53"/>
    <x v="0"/>
    <x v="1"/>
    <x v="0"/>
  </r>
  <r>
    <s v="ANM-16388-634"/>
    <x v="58"/>
    <x v="61"/>
    <s v="L-L-0.2"/>
    <n v="2"/>
    <x v="61"/>
    <s v="nsaleway1v@dedecms.com"/>
    <x v="0"/>
    <x v="3"/>
    <s v="L"/>
    <x v="3"/>
    <n v="4.7549999999999999"/>
    <x v="54"/>
    <x v="3"/>
    <x v="1"/>
    <x v="1"/>
  </r>
  <r>
    <s v="WYL-29300-070"/>
    <x v="59"/>
    <x v="62"/>
    <s v="R-M-0.2"/>
    <n v="1"/>
    <x v="62"/>
    <s v="hgoulter1w@abc.net.au"/>
    <x v="0"/>
    <x v="0"/>
    <s v="M"/>
    <x v="3"/>
    <n v="2.9849999999999999"/>
    <x v="55"/>
    <x v="0"/>
    <x v="0"/>
    <x v="1"/>
  </r>
  <r>
    <s v="JHW-74554-805"/>
    <x v="60"/>
    <x v="63"/>
    <s v="R-M-1"/>
    <n v="6"/>
    <x v="63"/>
    <s v="grizzello1x@symantec.com"/>
    <x v="2"/>
    <x v="0"/>
    <s v="M"/>
    <x v="0"/>
    <n v="9.9499999999999993"/>
    <x v="33"/>
    <x v="0"/>
    <x v="0"/>
    <x v="0"/>
  </r>
  <r>
    <s v="KYS-27063-603"/>
    <x v="61"/>
    <x v="64"/>
    <s v="E-L-2.5"/>
    <n v="4"/>
    <x v="64"/>
    <s v="slist1y@mapquest.com"/>
    <x v="0"/>
    <x v="1"/>
    <s v="L"/>
    <x v="2"/>
    <n v="34.154999999999994"/>
    <x v="56"/>
    <x v="1"/>
    <x v="1"/>
    <x v="1"/>
  </r>
  <r>
    <s v="GAZ-58626-277"/>
    <x v="62"/>
    <x v="65"/>
    <s v="L-L-0.2"/>
    <n v="2"/>
    <x v="65"/>
    <s v="sedmondson1z@theguardian.com"/>
    <x v="1"/>
    <x v="3"/>
    <s v="L"/>
    <x v="3"/>
    <n v="4.7549999999999999"/>
    <x v="54"/>
    <x v="3"/>
    <x v="1"/>
    <x v="1"/>
  </r>
  <r>
    <s v="RPJ-37787-335"/>
    <x v="63"/>
    <x v="66"/>
    <s v="A-M-2.5"/>
    <n v="3"/>
    <x v="66"/>
    <s v=""/>
    <x v="0"/>
    <x v="2"/>
    <s v="M"/>
    <x v="2"/>
    <n v="25.874999999999996"/>
    <x v="57"/>
    <x v="2"/>
    <x v="0"/>
    <x v="1"/>
  </r>
  <r>
    <s v="LEF-83057-763"/>
    <x v="64"/>
    <x v="67"/>
    <s v="L-M-0.2"/>
    <n v="5"/>
    <x v="67"/>
    <s v=""/>
    <x v="0"/>
    <x v="3"/>
    <s v="M"/>
    <x v="3"/>
    <n v="4.3650000000000002"/>
    <x v="26"/>
    <x v="3"/>
    <x v="0"/>
    <x v="0"/>
  </r>
  <r>
    <s v="RPW-36123-215"/>
    <x v="65"/>
    <x v="68"/>
    <s v="E-L-0.5"/>
    <n v="2"/>
    <x v="68"/>
    <s v="jrangall22@newsvine.com"/>
    <x v="0"/>
    <x v="1"/>
    <s v="L"/>
    <x v="1"/>
    <n v="8.91"/>
    <x v="58"/>
    <x v="1"/>
    <x v="1"/>
    <x v="0"/>
  </r>
  <r>
    <s v="WLL-59044-117"/>
    <x v="66"/>
    <x v="69"/>
    <s v="R-D-1"/>
    <n v="6"/>
    <x v="69"/>
    <s v="kboorn23@ezinearticles.com"/>
    <x v="1"/>
    <x v="0"/>
    <s v="D"/>
    <x v="0"/>
    <n v="8.9499999999999993"/>
    <x v="59"/>
    <x v="0"/>
    <x v="2"/>
    <x v="0"/>
  </r>
  <r>
    <s v="AWT-22827-563"/>
    <x v="67"/>
    <x v="70"/>
    <s v="R-L-0.2"/>
    <n v="1"/>
    <x v="70"/>
    <s v=""/>
    <x v="1"/>
    <x v="0"/>
    <s v="L"/>
    <x v="3"/>
    <n v="3.5849999999999995"/>
    <x v="60"/>
    <x v="0"/>
    <x v="1"/>
    <x v="0"/>
  </r>
  <r>
    <s v="QLM-07145-668"/>
    <x v="68"/>
    <x v="71"/>
    <s v="E-D-0.2"/>
    <n v="2"/>
    <x v="71"/>
    <s v="celgey25@webs.com"/>
    <x v="0"/>
    <x v="1"/>
    <s v="D"/>
    <x v="3"/>
    <n v="3.645"/>
    <x v="35"/>
    <x v="1"/>
    <x v="2"/>
    <x v="1"/>
  </r>
  <r>
    <s v="HVQ-64398-930"/>
    <x v="69"/>
    <x v="72"/>
    <s v="A-M-0.5"/>
    <n v="6"/>
    <x v="72"/>
    <s v="lmizzi26@rakuten.co.jp"/>
    <x v="0"/>
    <x v="2"/>
    <s v="M"/>
    <x v="1"/>
    <n v="6.75"/>
    <x v="61"/>
    <x v="2"/>
    <x v="0"/>
    <x v="0"/>
  </r>
  <r>
    <s v="WRT-40778-247"/>
    <x v="70"/>
    <x v="73"/>
    <s v="R-L-1"/>
    <n v="4"/>
    <x v="73"/>
    <s v="cgiacomazzo27@jigsy.com"/>
    <x v="0"/>
    <x v="0"/>
    <s v="L"/>
    <x v="0"/>
    <n v="11.95"/>
    <x v="62"/>
    <x v="0"/>
    <x v="1"/>
    <x v="1"/>
  </r>
  <r>
    <s v="SUB-13006-125"/>
    <x v="71"/>
    <x v="74"/>
    <s v="A-L-0.5"/>
    <n v="5"/>
    <x v="74"/>
    <s v="aarnow28@arizona.edu"/>
    <x v="0"/>
    <x v="2"/>
    <s v="L"/>
    <x v="1"/>
    <n v="7.77"/>
    <x v="5"/>
    <x v="2"/>
    <x v="1"/>
    <x v="0"/>
  </r>
  <r>
    <s v="CQM-49696-263"/>
    <x v="72"/>
    <x v="75"/>
    <s v="L-L-2.5"/>
    <n v="3"/>
    <x v="75"/>
    <s v="syann29@senate.gov"/>
    <x v="0"/>
    <x v="3"/>
    <s v="L"/>
    <x v="2"/>
    <n v="36.454999999999998"/>
    <x v="63"/>
    <x v="3"/>
    <x v="1"/>
    <x v="0"/>
  </r>
  <r>
    <s v="KXN-85094-246"/>
    <x v="73"/>
    <x v="76"/>
    <s v="L-M-2.5"/>
    <n v="3"/>
    <x v="76"/>
    <s v="bnaulls2a@tiny.cc"/>
    <x v="1"/>
    <x v="3"/>
    <s v="M"/>
    <x v="2"/>
    <n v="33.464999999999996"/>
    <x v="64"/>
    <x v="3"/>
    <x v="0"/>
    <x v="0"/>
  </r>
  <r>
    <s v="XOQ-12405-419"/>
    <x v="74"/>
    <x v="77"/>
    <s v="R-D-2.5"/>
    <n v="4"/>
    <x v="77"/>
    <s v=""/>
    <x v="0"/>
    <x v="0"/>
    <s v="D"/>
    <x v="2"/>
    <n v="20.584999999999997"/>
    <x v="18"/>
    <x v="0"/>
    <x v="2"/>
    <x v="0"/>
  </r>
  <r>
    <s v="HYF-10254-369"/>
    <x v="75"/>
    <x v="78"/>
    <s v="L-L-0.5"/>
    <n v="1"/>
    <x v="78"/>
    <s v="zsherewood2c@apache.org"/>
    <x v="0"/>
    <x v="3"/>
    <s v="L"/>
    <x v="1"/>
    <n v="9.51"/>
    <x v="54"/>
    <x v="3"/>
    <x v="1"/>
    <x v="1"/>
  </r>
  <r>
    <s v="XXJ-47000-307"/>
    <x v="76"/>
    <x v="79"/>
    <s v="A-L-2.5"/>
    <n v="3"/>
    <x v="79"/>
    <s v="jdufaire2d@fc2.com"/>
    <x v="0"/>
    <x v="2"/>
    <s v="L"/>
    <x v="2"/>
    <n v="29.784999999999997"/>
    <x v="49"/>
    <x v="2"/>
    <x v="1"/>
    <x v="1"/>
  </r>
  <r>
    <s v="XXJ-47000-307"/>
    <x v="76"/>
    <x v="79"/>
    <s v="A-D-0.2"/>
    <n v="4"/>
    <x v="79"/>
    <s v="jdufaire2d@fc2.com"/>
    <x v="0"/>
    <x v="2"/>
    <s v="D"/>
    <x v="3"/>
    <n v="2.9849999999999999"/>
    <x v="22"/>
    <x v="2"/>
    <x v="2"/>
    <x v="1"/>
  </r>
  <r>
    <s v="ZDK-82166-357"/>
    <x v="77"/>
    <x v="80"/>
    <s v="A-M-1"/>
    <n v="3"/>
    <x v="80"/>
    <s v="bkeaveney2f@netlog.com"/>
    <x v="0"/>
    <x v="2"/>
    <s v="M"/>
    <x v="0"/>
    <n v="11.25"/>
    <x v="65"/>
    <x v="2"/>
    <x v="0"/>
    <x v="1"/>
  </r>
  <r>
    <s v="IHN-19982-362"/>
    <x v="78"/>
    <x v="81"/>
    <s v="R-L-1"/>
    <n v="3"/>
    <x v="81"/>
    <s v="egrise2g@cargocollective.com"/>
    <x v="0"/>
    <x v="0"/>
    <s v="L"/>
    <x v="0"/>
    <n v="11.95"/>
    <x v="66"/>
    <x v="0"/>
    <x v="1"/>
    <x v="1"/>
  </r>
  <r>
    <s v="VMT-10030-889"/>
    <x v="79"/>
    <x v="82"/>
    <s v="A-L-1"/>
    <n v="6"/>
    <x v="82"/>
    <s v="tgottelier2h@vistaprint.com"/>
    <x v="0"/>
    <x v="2"/>
    <s v="L"/>
    <x v="0"/>
    <n v="12.95"/>
    <x v="17"/>
    <x v="2"/>
    <x v="1"/>
    <x v="1"/>
  </r>
  <r>
    <s v="NHL-11063-100"/>
    <x v="80"/>
    <x v="83"/>
    <s v="A-L-1"/>
    <n v="4"/>
    <x v="83"/>
    <s v=""/>
    <x v="1"/>
    <x v="2"/>
    <s v="L"/>
    <x v="0"/>
    <n v="12.95"/>
    <x v="67"/>
    <x v="2"/>
    <x v="1"/>
    <x v="0"/>
  </r>
  <r>
    <s v="ROV-87448-086"/>
    <x v="81"/>
    <x v="84"/>
    <s v="A-M-2.5"/>
    <n v="4"/>
    <x v="84"/>
    <s v="agreenhead2j@dailymail.co.uk"/>
    <x v="0"/>
    <x v="2"/>
    <s v="M"/>
    <x v="2"/>
    <n v="25.874999999999996"/>
    <x v="68"/>
    <x v="2"/>
    <x v="0"/>
    <x v="1"/>
  </r>
  <r>
    <s v="DGY-35773-612"/>
    <x v="82"/>
    <x v="85"/>
    <s v="E-L-1"/>
    <n v="3"/>
    <x v="85"/>
    <s v=""/>
    <x v="0"/>
    <x v="1"/>
    <s v="L"/>
    <x v="0"/>
    <n v="14.85"/>
    <x v="69"/>
    <x v="1"/>
    <x v="1"/>
    <x v="0"/>
  </r>
  <r>
    <s v="YWH-50638-556"/>
    <x v="83"/>
    <x v="86"/>
    <s v="E-L-0.5"/>
    <n v="4"/>
    <x v="86"/>
    <s v="elangcaster2l@spotify.com"/>
    <x v="2"/>
    <x v="1"/>
    <s v="L"/>
    <x v="1"/>
    <n v="8.91"/>
    <x v="70"/>
    <x v="1"/>
    <x v="1"/>
    <x v="0"/>
  </r>
  <r>
    <s v="ISL-11200-600"/>
    <x v="84"/>
    <x v="87"/>
    <s v="A-D-0.2"/>
    <n v="6"/>
    <x v="87"/>
    <s v=""/>
    <x v="1"/>
    <x v="2"/>
    <s v="D"/>
    <x v="3"/>
    <n v="2.9849999999999999"/>
    <x v="8"/>
    <x v="2"/>
    <x v="2"/>
    <x v="0"/>
  </r>
  <r>
    <s v="LBZ-75997-047"/>
    <x v="85"/>
    <x v="88"/>
    <s v="A-M-2.5"/>
    <n v="6"/>
    <x v="88"/>
    <s v="nmagauran2n@51.la"/>
    <x v="0"/>
    <x v="2"/>
    <s v="M"/>
    <x v="2"/>
    <n v="25.874999999999996"/>
    <x v="71"/>
    <x v="2"/>
    <x v="0"/>
    <x v="1"/>
  </r>
  <r>
    <s v="EUH-08089-954"/>
    <x v="86"/>
    <x v="89"/>
    <s v="A-D-0.2"/>
    <n v="2"/>
    <x v="89"/>
    <s v="vkirdsch2o@google.fr"/>
    <x v="0"/>
    <x v="2"/>
    <s v="D"/>
    <x v="3"/>
    <n v="2.9849999999999999"/>
    <x v="9"/>
    <x v="2"/>
    <x v="2"/>
    <x v="1"/>
  </r>
  <r>
    <s v="BLD-12227-251"/>
    <x v="87"/>
    <x v="90"/>
    <s v="A-M-0.5"/>
    <n v="2"/>
    <x v="90"/>
    <s v="iwhapple2p@com.com"/>
    <x v="0"/>
    <x v="2"/>
    <s v="M"/>
    <x v="1"/>
    <n v="6.75"/>
    <x v="72"/>
    <x v="2"/>
    <x v="0"/>
    <x v="1"/>
  </r>
  <r>
    <s v="OPY-30711-853"/>
    <x v="25"/>
    <x v="91"/>
    <s v="A-D-0.2"/>
    <n v="1"/>
    <x v="91"/>
    <s v=""/>
    <x v="1"/>
    <x v="2"/>
    <s v="D"/>
    <x v="3"/>
    <n v="2.9849999999999999"/>
    <x v="55"/>
    <x v="2"/>
    <x v="2"/>
    <x v="1"/>
  </r>
  <r>
    <s v="DBC-44122-300"/>
    <x v="88"/>
    <x v="92"/>
    <s v="L-M-0.2"/>
    <n v="3"/>
    <x v="92"/>
    <s v=""/>
    <x v="0"/>
    <x v="3"/>
    <s v="M"/>
    <x v="3"/>
    <n v="4.3650000000000002"/>
    <x v="73"/>
    <x v="3"/>
    <x v="0"/>
    <x v="0"/>
  </r>
  <r>
    <s v="FJQ-60035-234"/>
    <x v="89"/>
    <x v="93"/>
    <s v="A-L-0.2"/>
    <n v="2"/>
    <x v="93"/>
    <s v=""/>
    <x v="0"/>
    <x v="2"/>
    <s v="L"/>
    <x v="3"/>
    <n v="3.8849999999999998"/>
    <x v="41"/>
    <x v="2"/>
    <x v="1"/>
    <x v="0"/>
  </r>
  <r>
    <s v="HSF-66926-425"/>
    <x v="90"/>
    <x v="94"/>
    <s v="L-D-2.5"/>
    <n v="5"/>
    <x v="94"/>
    <s v="nyoules2t@reference.com"/>
    <x v="1"/>
    <x v="3"/>
    <s v="D"/>
    <x v="2"/>
    <n v="29.784999999999997"/>
    <x v="74"/>
    <x v="3"/>
    <x v="2"/>
    <x v="0"/>
  </r>
  <r>
    <s v="LQG-41416-375"/>
    <x v="91"/>
    <x v="95"/>
    <s v="L-D-1"/>
    <n v="3"/>
    <x v="95"/>
    <s v="daizikovitz2u@answers.com"/>
    <x v="1"/>
    <x v="3"/>
    <s v="D"/>
    <x v="0"/>
    <n v="12.95"/>
    <x v="5"/>
    <x v="3"/>
    <x v="2"/>
    <x v="0"/>
  </r>
  <r>
    <s v="VZO-97265-841"/>
    <x v="92"/>
    <x v="96"/>
    <s v="R-M-0.2"/>
    <n v="4"/>
    <x v="96"/>
    <s v="brevel2v@fastcompany.com"/>
    <x v="0"/>
    <x v="0"/>
    <s v="M"/>
    <x v="3"/>
    <n v="2.9849999999999999"/>
    <x v="22"/>
    <x v="0"/>
    <x v="0"/>
    <x v="1"/>
  </r>
  <r>
    <s v="MOR-12987-399"/>
    <x v="93"/>
    <x v="97"/>
    <s v="L-M-1"/>
    <n v="6"/>
    <x v="97"/>
    <s v="epriddis2w@nationalgeographic.com"/>
    <x v="0"/>
    <x v="3"/>
    <s v="M"/>
    <x v="0"/>
    <n v="14.55"/>
    <x v="75"/>
    <x v="3"/>
    <x v="0"/>
    <x v="1"/>
  </r>
  <r>
    <s v="UOA-23786-489"/>
    <x v="94"/>
    <x v="98"/>
    <s v="A-M-0.5"/>
    <n v="6"/>
    <x v="98"/>
    <s v="qveel2x@jugem.jp"/>
    <x v="0"/>
    <x v="2"/>
    <s v="M"/>
    <x v="1"/>
    <n v="6.75"/>
    <x v="61"/>
    <x v="2"/>
    <x v="0"/>
    <x v="0"/>
  </r>
  <r>
    <s v="AJL-52941-018"/>
    <x v="95"/>
    <x v="99"/>
    <s v="E-D-1"/>
    <n v="2"/>
    <x v="99"/>
    <s v="lconyers2y@twitter.com"/>
    <x v="0"/>
    <x v="1"/>
    <s v="D"/>
    <x v="0"/>
    <n v="12.15"/>
    <x v="76"/>
    <x v="1"/>
    <x v="2"/>
    <x v="1"/>
  </r>
  <r>
    <s v="XSZ-84273-421"/>
    <x v="96"/>
    <x v="100"/>
    <s v="R-M-0.5"/>
    <n v="3"/>
    <x v="100"/>
    <s v="pwye2z@dagondesign.com"/>
    <x v="0"/>
    <x v="0"/>
    <s v="M"/>
    <x v="1"/>
    <n v="5.97"/>
    <x v="8"/>
    <x v="0"/>
    <x v="0"/>
    <x v="0"/>
  </r>
  <r>
    <s v="NUN-48214-216"/>
    <x v="97"/>
    <x v="101"/>
    <s v="A-M-0.5"/>
    <n v="4"/>
    <x v="101"/>
    <s v=""/>
    <x v="0"/>
    <x v="2"/>
    <s v="M"/>
    <x v="1"/>
    <n v="6.75"/>
    <x v="25"/>
    <x v="2"/>
    <x v="0"/>
    <x v="1"/>
  </r>
  <r>
    <s v="AKV-93064-769"/>
    <x v="98"/>
    <x v="102"/>
    <s v="L-D-0.5"/>
    <n v="1"/>
    <x v="102"/>
    <s v="tsheryn31@mtv.com"/>
    <x v="0"/>
    <x v="3"/>
    <s v="D"/>
    <x v="1"/>
    <n v="7.77"/>
    <x v="41"/>
    <x v="3"/>
    <x v="2"/>
    <x v="0"/>
  </r>
  <r>
    <s v="BRB-40903-533"/>
    <x v="99"/>
    <x v="103"/>
    <s v="E-L-0.2"/>
    <n v="3"/>
    <x v="103"/>
    <s v="mredgrave32@cargocollective.com"/>
    <x v="0"/>
    <x v="1"/>
    <s v="L"/>
    <x v="3"/>
    <n v="4.4550000000000001"/>
    <x v="77"/>
    <x v="1"/>
    <x v="1"/>
    <x v="0"/>
  </r>
  <r>
    <s v="GPR-19973-483"/>
    <x v="100"/>
    <x v="104"/>
    <s v="R-D-0.5"/>
    <n v="5"/>
    <x v="104"/>
    <s v="bfominov33@yale.edu"/>
    <x v="0"/>
    <x v="0"/>
    <s v="D"/>
    <x v="1"/>
    <n v="5.3699999999999992"/>
    <x v="51"/>
    <x v="0"/>
    <x v="2"/>
    <x v="1"/>
  </r>
  <r>
    <s v="XIY-43041-882"/>
    <x v="101"/>
    <x v="105"/>
    <s v="A-M-1"/>
    <n v="1"/>
    <x v="105"/>
    <s v="scritchlow34@un.org"/>
    <x v="0"/>
    <x v="2"/>
    <s v="M"/>
    <x v="0"/>
    <n v="11.25"/>
    <x v="23"/>
    <x v="2"/>
    <x v="0"/>
    <x v="1"/>
  </r>
  <r>
    <s v="YGY-98425-969"/>
    <x v="102"/>
    <x v="106"/>
    <s v="L-M-1"/>
    <n v="1"/>
    <x v="106"/>
    <s v="msteptow35@earthlink.net"/>
    <x v="1"/>
    <x v="3"/>
    <s v="M"/>
    <x v="0"/>
    <n v="14.55"/>
    <x v="78"/>
    <x v="3"/>
    <x v="0"/>
    <x v="1"/>
  </r>
  <r>
    <s v="MSB-08397-648"/>
    <x v="103"/>
    <x v="107"/>
    <s v="R-L-0.2"/>
    <n v="4"/>
    <x v="107"/>
    <s v=""/>
    <x v="0"/>
    <x v="0"/>
    <s v="L"/>
    <x v="3"/>
    <n v="3.5849999999999995"/>
    <x v="79"/>
    <x v="0"/>
    <x v="1"/>
    <x v="1"/>
  </r>
  <r>
    <s v="WDR-06028-345"/>
    <x v="104"/>
    <x v="108"/>
    <s v="L-L-1"/>
    <n v="1"/>
    <x v="108"/>
    <s v="imulliner37@pinterest.com"/>
    <x v="2"/>
    <x v="3"/>
    <s v="L"/>
    <x v="0"/>
    <n v="15.85"/>
    <x v="80"/>
    <x v="3"/>
    <x v="1"/>
    <x v="1"/>
  </r>
  <r>
    <s v="MXM-42948-061"/>
    <x v="105"/>
    <x v="109"/>
    <s v="L-L-0.2"/>
    <n v="4"/>
    <x v="109"/>
    <s v="gstandley38@dion.ne.jp"/>
    <x v="1"/>
    <x v="3"/>
    <s v="L"/>
    <x v="3"/>
    <n v="4.7549999999999999"/>
    <x v="81"/>
    <x v="3"/>
    <x v="1"/>
    <x v="0"/>
  </r>
  <r>
    <s v="MGQ-98961-173"/>
    <x v="11"/>
    <x v="110"/>
    <s v="L-L-0.5"/>
    <n v="4"/>
    <x v="110"/>
    <s v="bdrage39@youku.com"/>
    <x v="0"/>
    <x v="3"/>
    <s v="L"/>
    <x v="1"/>
    <n v="9.51"/>
    <x v="82"/>
    <x v="3"/>
    <x v="1"/>
    <x v="1"/>
  </r>
  <r>
    <s v="RFH-64349-897"/>
    <x v="106"/>
    <x v="111"/>
    <s v="E-D-0.5"/>
    <n v="3"/>
    <x v="111"/>
    <s v="myallop3a@fema.gov"/>
    <x v="0"/>
    <x v="1"/>
    <s v="D"/>
    <x v="1"/>
    <n v="7.29"/>
    <x v="6"/>
    <x v="1"/>
    <x v="2"/>
    <x v="0"/>
  </r>
  <r>
    <s v="TKL-20738-660"/>
    <x v="107"/>
    <x v="112"/>
    <s v="E-M-0.2"/>
    <n v="1"/>
    <x v="112"/>
    <s v="cswitsur3b@chronoengine.com"/>
    <x v="0"/>
    <x v="1"/>
    <s v="M"/>
    <x v="3"/>
    <n v="4.125"/>
    <x v="83"/>
    <x v="1"/>
    <x v="0"/>
    <x v="1"/>
  </r>
  <r>
    <s v="TKL-20738-660"/>
    <x v="107"/>
    <x v="112"/>
    <s v="A-L-0.2"/>
    <n v="1"/>
    <x v="112"/>
    <s v="cswitsur3b@chronoengine.com"/>
    <x v="0"/>
    <x v="2"/>
    <s v="L"/>
    <x v="3"/>
    <n v="3.8849999999999998"/>
    <x v="84"/>
    <x v="2"/>
    <x v="1"/>
    <x v="1"/>
  </r>
  <r>
    <s v="TKL-20738-660"/>
    <x v="107"/>
    <x v="112"/>
    <s v="E-M-1"/>
    <n v="5"/>
    <x v="112"/>
    <s v="cswitsur3b@chronoengine.com"/>
    <x v="0"/>
    <x v="1"/>
    <s v="M"/>
    <x v="0"/>
    <n v="13.75"/>
    <x v="85"/>
    <x v="1"/>
    <x v="0"/>
    <x v="1"/>
  </r>
  <r>
    <s v="GOW-03198-575"/>
    <x v="108"/>
    <x v="113"/>
    <s v="A-D-0.5"/>
    <n v="4"/>
    <x v="113"/>
    <s v="mludwell3e@blogger.com"/>
    <x v="0"/>
    <x v="2"/>
    <s v="D"/>
    <x v="1"/>
    <n v="5.97"/>
    <x v="86"/>
    <x v="2"/>
    <x v="2"/>
    <x v="0"/>
  </r>
  <r>
    <s v="QJB-90477-635"/>
    <x v="109"/>
    <x v="114"/>
    <s v="L-L-2.5"/>
    <n v="4"/>
    <x v="114"/>
    <s v="dbeauchamp3f@usda.gov"/>
    <x v="0"/>
    <x v="3"/>
    <s v="L"/>
    <x v="2"/>
    <n v="36.454999999999998"/>
    <x v="43"/>
    <x v="3"/>
    <x v="1"/>
    <x v="1"/>
  </r>
  <r>
    <s v="MWP-46239-785"/>
    <x v="110"/>
    <x v="115"/>
    <s v="L-M-0.2"/>
    <n v="5"/>
    <x v="115"/>
    <s v="srodliff3g@ted.com"/>
    <x v="0"/>
    <x v="3"/>
    <s v="M"/>
    <x v="3"/>
    <n v="4.3650000000000002"/>
    <x v="26"/>
    <x v="3"/>
    <x v="0"/>
    <x v="0"/>
  </r>
  <r>
    <s v="QDV-03406-248"/>
    <x v="111"/>
    <x v="116"/>
    <s v="L-M-0.5"/>
    <n v="3"/>
    <x v="116"/>
    <s v="swoodham3h@businesswire.com"/>
    <x v="1"/>
    <x v="3"/>
    <s v="M"/>
    <x v="1"/>
    <n v="8.73"/>
    <x v="50"/>
    <x v="3"/>
    <x v="0"/>
    <x v="0"/>
  </r>
  <r>
    <s v="GPH-40635-105"/>
    <x v="112"/>
    <x v="117"/>
    <s v="A-M-1"/>
    <n v="1"/>
    <x v="117"/>
    <s v="hsynnot3i@about.com"/>
    <x v="0"/>
    <x v="2"/>
    <s v="M"/>
    <x v="0"/>
    <n v="11.25"/>
    <x v="23"/>
    <x v="2"/>
    <x v="0"/>
    <x v="1"/>
  </r>
  <r>
    <s v="JOM-80930-071"/>
    <x v="113"/>
    <x v="118"/>
    <s v="L-D-1"/>
    <n v="6"/>
    <x v="118"/>
    <s v="rlepere3j@shop-pro.jp"/>
    <x v="1"/>
    <x v="3"/>
    <s v="D"/>
    <x v="0"/>
    <n v="12.95"/>
    <x v="17"/>
    <x v="3"/>
    <x v="2"/>
    <x v="1"/>
  </r>
  <r>
    <s v="OIL-26493-755"/>
    <x v="114"/>
    <x v="119"/>
    <s v="A-M-0.5"/>
    <n v="1"/>
    <x v="119"/>
    <s v="twoofinden3k@businesswire.com"/>
    <x v="0"/>
    <x v="2"/>
    <s v="M"/>
    <x v="1"/>
    <n v="6.75"/>
    <x v="52"/>
    <x v="2"/>
    <x v="0"/>
    <x v="1"/>
  </r>
  <r>
    <s v="CYV-13426-645"/>
    <x v="115"/>
    <x v="120"/>
    <s v="E-D-1"/>
    <n v="1"/>
    <x v="120"/>
    <s v="edacca3l@google.pl"/>
    <x v="0"/>
    <x v="1"/>
    <s v="D"/>
    <x v="0"/>
    <n v="12.15"/>
    <x v="87"/>
    <x v="1"/>
    <x v="2"/>
    <x v="0"/>
  </r>
  <r>
    <s v="WRP-39846-614"/>
    <x v="49"/>
    <x v="121"/>
    <s v="A-L-2.5"/>
    <n v="5"/>
    <x v="121"/>
    <s v=""/>
    <x v="1"/>
    <x v="2"/>
    <s v="L"/>
    <x v="2"/>
    <n v="29.784999999999997"/>
    <x v="74"/>
    <x v="2"/>
    <x v="1"/>
    <x v="0"/>
  </r>
  <r>
    <s v="VDZ-76673-968"/>
    <x v="116"/>
    <x v="122"/>
    <s v="E-D-0.5"/>
    <n v="2"/>
    <x v="122"/>
    <s v="bhindsberg3n@blogs.com"/>
    <x v="0"/>
    <x v="1"/>
    <s v="D"/>
    <x v="1"/>
    <n v="7.29"/>
    <x v="20"/>
    <x v="1"/>
    <x v="2"/>
    <x v="0"/>
  </r>
  <r>
    <s v="VTV-03546-175"/>
    <x v="117"/>
    <x v="123"/>
    <s v="A-L-2.5"/>
    <n v="5"/>
    <x v="123"/>
    <s v="orobins3o@salon.com"/>
    <x v="0"/>
    <x v="2"/>
    <s v="L"/>
    <x v="2"/>
    <n v="29.784999999999997"/>
    <x v="74"/>
    <x v="2"/>
    <x v="1"/>
    <x v="0"/>
  </r>
  <r>
    <s v="GHR-72274-715"/>
    <x v="118"/>
    <x v="124"/>
    <s v="L-D-1"/>
    <n v="1"/>
    <x v="124"/>
    <s v="osyseland3p@independent.co.uk"/>
    <x v="0"/>
    <x v="3"/>
    <s v="D"/>
    <x v="0"/>
    <n v="12.95"/>
    <x v="2"/>
    <x v="3"/>
    <x v="2"/>
    <x v="1"/>
  </r>
  <r>
    <s v="ZGK-97262-313"/>
    <x v="119"/>
    <x v="125"/>
    <s v="E-M-2.5"/>
    <n v="3"/>
    <x v="125"/>
    <s v=""/>
    <x v="0"/>
    <x v="1"/>
    <s v="M"/>
    <x v="2"/>
    <n v="31.624999999999996"/>
    <x v="88"/>
    <x v="1"/>
    <x v="0"/>
    <x v="0"/>
  </r>
  <r>
    <s v="ZFS-30776-804"/>
    <x v="120"/>
    <x v="126"/>
    <s v="A-L-0.5"/>
    <n v="5"/>
    <x v="126"/>
    <s v="bmcamish2e@tripadvisor.com"/>
    <x v="0"/>
    <x v="2"/>
    <s v="L"/>
    <x v="1"/>
    <n v="7.77"/>
    <x v="5"/>
    <x v="2"/>
    <x v="1"/>
    <x v="0"/>
  </r>
  <r>
    <s v="QUU-91729-492"/>
    <x v="121"/>
    <x v="127"/>
    <s v="A-D-0.2"/>
    <n v="4"/>
    <x v="127"/>
    <s v="lkeenleyside3s@topsy.com"/>
    <x v="0"/>
    <x v="2"/>
    <s v="D"/>
    <x v="3"/>
    <n v="2.9849999999999999"/>
    <x v="22"/>
    <x v="2"/>
    <x v="2"/>
    <x v="1"/>
  </r>
  <r>
    <s v="PVI-72795-960"/>
    <x v="122"/>
    <x v="128"/>
    <s v="E-L-2.5"/>
    <n v="3"/>
    <x v="128"/>
    <s v=""/>
    <x v="1"/>
    <x v="1"/>
    <s v="L"/>
    <x v="2"/>
    <n v="34.154999999999994"/>
    <x v="89"/>
    <x v="1"/>
    <x v="1"/>
    <x v="1"/>
  </r>
  <r>
    <s v="PPP-78935-365"/>
    <x v="123"/>
    <x v="129"/>
    <s v="E-D-1"/>
    <n v="4"/>
    <x v="129"/>
    <s v=""/>
    <x v="0"/>
    <x v="1"/>
    <s v="D"/>
    <x v="0"/>
    <n v="12.15"/>
    <x v="90"/>
    <x v="1"/>
    <x v="2"/>
    <x v="1"/>
  </r>
  <r>
    <s v="JUO-34131-517"/>
    <x v="124"/>
    <x v="130"/>
    <s v="L-D-1"/>
    <n v="6"/>
    <x v="130"/>
    <s v=""/>
    <x v="0"/>
    <x v="3"/>
    <s v="D"/>
    <x v="0"/>
    <n v="12.95"/>
    <x v="17"/>
    <x v="3"/>
    <x v="2"/>
    <x v="0"/>
  </r>
  <r>
    <s v="ZJE-89333-489"/>
    <x v="125"/>
    <x v="131"/>
    <s v="L-D-2.5"/>
    <n v="1"/>
    <x v="131"/>
    <s v="vkundt3w@bigcartel.com"/>
    <x v="1"/>
    <x v="3"/>
    <s v="D"/>
    <x v="2"/>
    <n v="29.784999999999997"/>
    <x v="91"/>
    <x v="3"/>
    <x v="2"/>
    <x v="0"/>
  </r>
  <r>
    <s v="LOO-35324-159"/>
    <x v="126"/>
    <x v="132"/>
    <s v="A-L-0.2"/>
    <n v="4"/>
    <x v="132"/>
    <s v="bbett3x@google.de"/>
    <x v="0"/>
    <x v="2"/>
    <s v="L"/>
    <x v="3"/>
    <n v="3.8849999999999998"/>
    <x v="42"/>
    <x v="2"/>
    <x v="1"/>
    <x v="0"/>
  </r>
  <r>
    <s v="JBQ-93412-846"/>
    <x v="127"/>
    <x v="133"/>
    <s v="E-L-2.5"/>
    <n v="4"/>
    <x v="133"/>
    <s v=""/>
    <x v="1"/>
    <x v="1"/>
    <s v="L"/>
    <x v="2"/>
    <n v="34.154999999999994"/>
    <x v="56"/>
    <x v="1"/>
    <x v="1"/>
    <x v="0"/>
  </r>
  <r>
    <s v="EHX-66333-637"/>
    <x v="128"/>
    <x v="134"/>
    <s v="L-M-0.5"/>
    <n v="2"/>
    <x v="134"/>
    <s v="dstaite3z@scientificamerican.com"/>
    <x v="0"/>
    <x v="3"/>
    <s v="M"/>
    <x v="1"/>
    <n v="8.73"/>
    <x v="92"/>
    <x v="3"/>
    <x v="0"/>
    <x v="1"/>
  </r>
  <r>
    <s v="WXG-25759-236"/>
    <x v="103"/>
    <x v="135"/>
    <s v="E-L-2.5"/>
    <n v="2"/>
    <x v="135"/>
    <s v="wkeyse40@apple.com"/>
    <x v="0"/>
    <x v="1"/>
    <s v="L"/>
    <x v="2"/>
    <n v="34.154999999999994"/>
    <x v="93"/>
    <x v="1"/>
    <x v="1"/>
    <x v="0"/>
  </r>
  <r>
    <s v="QNA-31113-984"/>
    <x v="129"/>
    <x v="136"/>
    <s v="L-M-0.2"/>
    <n v="4"/>
    <x v="136"/>
    <s v="oclausenthue41@marriott.com"/>
    <x v="0"/>
    <x v="3"/>
    <s v="M"/>
    <x v="3"/>
    <n v="4.3650000000000002"/>
    <x v="92"/>
    <x v="3"/>
    <x v="0"/>
    <x v="1"/>
  </r>
  <r>
    <s v="ZWI-52029-159"/>
    <x v="130"/>
    <x v="137"/>
    <s v="L-M-1"/>
    <n v="3"/>
    <x v="137"/>
    <s v="lfrancisco42@fema.gov"/>
    <x v="0"/>
    <x v="3"/>
    <s v="M"/>
    <x v="0"/>
    <n v="14.55"/>
    <x v="34"/>
    <x v="3"/>
    <x v="0"/>
    <x v="1"/>
  </r>
  <r>
    <s v="ZWI-52029-159"/>
    <x v="130"/>
    <x v="137"/>
    <s v="E-M-1"/>
    <n v="2"/>
    <x v="137"/>
    <s v="lfrancisco42@fema.gov"/>
    <x v="0"/>
    <x v="1"/>
    <s v="M"/>
    <x v="0"/>
    <n v="13.75"/>
    <x v="3"/>
    <x v="1"/>
    <x v="0"/>
    <x v="1"/>
  </r>
  <r>
    <s v="DFS-49954-707"/>
    <x v="131"/>
    <x v="138"/>
    <s v="E-D-0.2"/>
    <n v="5"/>
    <x v="138"/>
    <s v="gskingle44@clickbank.net"/>
    <x v="0"/>
    <x v="1"/>
    <s v="D"/>
    <x v="3"/>
    <n v="3.645"/>
    <x v="94"/>
    <x v="1"/>
    <x v="2"/>
    <x v="0"/>
  </r>
  <r>
    <s v="VYP-89830-878"/>
    <x v="132"/>
    <x v="139"/>
    <s v="A-M-2.5"/>
    <n v="2"/>
    <x v="139"/>
    <s v=""/>
    <x v="0"/>
    <x v="2"/>
    <s v="M"/>
    <x v="2"/>
    <n v="25.874999999999996"/>
    <x v="95"/>
    <x v="2"/>
    <x v="0"/>
    <x v="0"/>
  </r>
  <r>
    <s v="AMT-40418-362"/>
    <x v="133"/>
    <x v="140"/>
    <s v="L-D-1"/>
    <n v="1"/>
    <x v="140"/>
    <s v="jbalsillie46@princeton.edu"/>
    <x v="0"/>
    <x v="3"/>
    <s v="D"/>
    <x v="0"/>
    <n v="12.95"/>
    <x v="2"/>
    <x v="3"/>
    <x v="2"/>
    <x v="0"/>
  </r>
  <r>
    <s v="NFQ-23241-793"/>
    <x v="134"/>
    <x v="141"/>
    <s v="A-M-1"/>
    <n v="3"/>
    <x v="141"/>
    <s v=""/>
    <x v="0"/>
    <x v="2"/>
    <s v="M"/>
    <x v="0"/>
    <n v="11.25"/>
    <x v="65"/>
    <x v="2"/>
    <x v="0"/>
    <x v="0"/>
  </r>
  <r>
    <s v="JQK-64922-985"/>
    <x v="113"/>
    <x v="142"/>
    <s v="R-M-2.5"/>
    <n v="3"/>
    <x v="142"/>
    <s v="bleffek48@ning.com"/>
    <x v="0"/>
    <x v="0"/>
    <s v="M"/>
    <x v="2"/>
    <n v="22.884999999999998"/>
    <x v="96"/>
    <x v="0"/>
    <x v="0"/>
    <x v="0"/>
  </r>
  <r>
    <s v="YET-17732-678"/>
    <x v="135"/>
    <x v="143"/>
    <s v="R-D-0.2"/>
    <n v="1"/>
    <x v="143"/>
    <s v=""/>
    <x v="0"/>
    <x v="0"/>
    <s v="D"/>
    <x v="3"/>
    <n v="2.6849999999999996"/>
    <x v="97"/>
    <x v="0"/>
    <x v="2"/>
    <x v="1"/>
  </r>
  <r>
    <s v="NKW-24945-846"/>
    <x v="35"/>
    <x v="144"/>
    <s v="A-D-2.5"/>
    <n v="5"/>
    <x v="144"/>
    <s v="jpray4a@youtube.com"/>
    <x v="0"/>
    <x v="2"/>
    <s v="D"/>
    <x v="2"/>
    <n v="22.884999999999998"/>
    <x v="15"/>
    <x v="2"/>
    <x v="2"/>
    <x v="1"/>
  </r>
  <r>
    <s v="VKA-82720-513"/>
    <x v="136"/>
    <x v="145"/>
    <s v="A-M-2.5"/>
    <n v="6"/>
    <x v="145"/>
    <s v="gholborn4b@ow.ly"/>
    <x v="0"/>
    <x v="2"/>
    <s v="M"/>
    <x v="2"/>
    <n v="25.874999999999996"/>
    <x v="71"/>
    <x v="2"/>
    <x v="0"/>
    <x v="0"/>
  </r>
  <r>
    <s v="THA-60599-417"/>
    <x v="137"/>
    <x v="146"/>
    <s v="A-M-2.5"/>
    <n v="3"/>
    <x v="146"/>
    <s v="fkeinrat4c@dailymail.co.uk"/>
    <x v="0"/>
    <x v="2"/>
    <s v="M"/>
    <x v="2"/>
    <n v="25.874999999999996"/>
    <x v="57"/>
    <x v="2"/>
    <x v="0"/>
    <x v="0"/>
  </r>
  <r>
    <s v="MEK-39769-035"/>
    <x v="138"/>
    <x v="147"/>
    <s v="R-D-2.5"/>
    <n v="3"/>
    <x v="147"/>
    <s v="pyea4d@aol.com"/>
    <x v="1"/>
    <x v="0"/>
    <s v="D"/>
    <x v="2"/>
    <n v="20.584999999999997"/>
    <x v="98"/>
    <x v="0"/>
    <x v="2"/>
    <x v="1"/>
  </r>
  <r>
    <s v="JAF-18294-750"/>
    <x v="139"/>
    <x v="148"/>
    <s v="R-D-2.5"/>
    <n v="6"/>
    <x v="148"/>
    <s v=""/>
    <x v="0"/>
    <x v="0"/>
    <s v="D"/>
    <x v="2"/>
    <n v="20.584999999999997"/>
    <x v="99"/>
    <x v="0"/>
    <x v="2"/>
    <x v="0"/>
  </r>
  <r>
    <s v="TME-59627-221"/>
    <x v="140"/>
    <x v="149"/>
    <s v="L-L-2.5"/>
    <n v="6"/>
    <x v="149"/>
    <s v=""/>
    <x v="0"/>
    <x v="3"/>
    <s v="L"/>
    <x v="2"/>
    <n v="36.454999999999998"/>
    <x v="100"/>
    <x v="3"/>
    <x v="1"/>
    <x v="1"/>
  </r>
  <r>
    <s v="UDG-65353-824"/>
    <x v="141"/>
    <x v="150"/>
    <s v="E-M-0.5"/>
    <n v="4"/>
    <x v="150"/>
    <s v="kswede4g@addthis.com"/>
    <x v="0"/>
    <x v="1"/>
    <s v="M"/>
    <x v="1"/>
    <n v="8.25"/>
    <x v="101"/>
    <x v="1"/>
    <x v="0"/>
    <x v="1"/>
  </r>
  <r>
    <s v="ENQ-42923-176"/>
    <x v="142"/>
    <x v="151"/>
    <s v="A-L-0.5"/>
    <n v="3"/>
    <x v="151"/>
    <s v="lrubrow4h@microsoft.com"/>
    <x v="0"/>
    <x v="2"/>
    <s v="L"/>
    <x v="1"/>
    <n v="7.77"/>
    <x v="102"/>
    <x v="2"/>
    <x v="1"/>
    <x v="1"/>
  </r>
  <r>
    <s v="CBT-55781-720"/>
    <x v="143"/>
    <x v="152"/>
    <s v="E-D-0.5"/>
    <n v="3"/>
    <x v="152"/>
    <s v="dtift4i@netvibes.com"/>
    <x v="0"/>
    <x v="1"/>
    <s v="D"/>
    <x v="1"/>
    <n v="7.29"/>
    <x v="6"/>
    <x v="1"/>
    <x v="2"/>
    <x v="0"/>
  </r>
  <r>
    <s v="NEU-86533-016"/>
    <x v="144"/>
    <x v="153"/>
    <s v="R-D-0.2"/>
    <n v="6"/>
    <x v="153"/>
    <s v="gschonfeld4j@oracle.com"/>
    <x v="0"/>
    <x v="0"/>
    <s v="D"/>
    <x v="3"/>
    <n v="2.6849999999999996"/>
    <x v="103"/>
    <x v="0"/>
    <x v="2"/>
    <x v="1"/>
  </r>
  <r>
    <s v="BYU-58154-603"/>
    <x v="145"/>
    <x v="154"/>
    <s v="E-D-0.5"/>
    <n v="4"/>
    <x v="154"/>
    <s v="cfeye4k@google.co.jp"/>
    <x v="1"/>
    <x v="1"/>
    <s v="D"/>
    <x v="1"/>
    <n v="7.29"/>
    <x v="104"/>
    <x v="1"/>
    <x v="2"/>
    <x v="1"/>
  </r>
  <r>
    <s v="EHJ-05910-257"/>
    <x v="146"/>
    <x v="155"/>
    <s v="R-D-1"/>
    <n v="6"/>
    <x v="155"/>
    <s v=""/>
    <x v="0"/>
    <x v="0"/>
    <s v="D"/>
    <x v="0"/>
    <n v="8.9499999999999993"/>
    <x v="59"/>
    <x v="0"/>
    <x v="2"/>
    <x v="0"/>
  </r>
  <r>
    <s v="EIL-44855-309"/>
    <x v="147"/>
    <x v="156"/>
    <s v="R-D-0.5"/>
    <n v="5"/>
    <x v="156"/>
    <s v=""/>
    <x v="0"/>
    <x v="0"/>
    <s v="D"/>
    <x v="1"/>
    <n v="5.3699999999999992"/>
    <x v="51"/>
    <x v="0"/>
    <x v="2"/>
    <x v="0"/>
  </r>
  <r>
    <s v="HCA-87224-420"/>
    <x v="148"/>
    <x v="157"/>
    <s v="E-M-0.5"/>
    <n v="5"/>
    <x v="157"/>
    <s v="tfero4n@comsenz.com"/>
    <x v="0"/>
    <x v="1"/>
    <s v="M"/>
    <x v="1"/>
    <n v="8.25"/>
    <x v="1"/>
    <x v="1"/>
    <x v="0"/>
    <x v="0"/>
  </r>
  <r>
    <s v="ABO-29054-365"/>
    <x v="149"/>
    <x v="158"/>
    <s v="A-M-0.5"/>
    <n v="6"/>
    <x v="158"/>
    <s v=""/>
    <x v="1"/>
    <x v="2"/>
    <s v="M"/>
    <x v="1"/>
    <n v="6.75"/>
    <x v="61"/>
    <x v="2"/>
    <x v="0"/>
    <x v="1"/>
  </r>
  <r>
    <s v="TKN-58485-031"/>
    <x v="150"/>
    <x v="159"/>
    <s v="R-D-1"/>
    <n v="2"/>
    <x v="159"/>
    <s v="fdauney4p@sphinn.com"/>
    <x v="1"/>
    <x v="0"/>
    <s v="D"/>
    <x v="0"/>
    <n v="8.9499999999999993"/>
    <x v="105"/>
    <x v="0"/>
    <x v="2"/>
    <x v="1"/>
  </r>
  <r>
    <s v="RCK-04069-371"/>
    <x v="151"/>
    <x v="160"/>
    <s v="E-L-2.5"/>
    <n v="2"/>
    <x v="160"/>
    <s v="searley4q@youku.com"/>
    <x v="2"/>
    <x v="1"/>
    <s v="L"/>
    <x v="2"/>
    <n v="34.154999999999994"/>
    <x v="93"/>
    <x v="1"/>
    <x v="1"/>
    <x v="1"/>
  </r>
  <r>
    <s v="IRJ-67095-738"/>
    <x v="13"/>
    <x v="161"/>
    <s v="E-M-2.5"/>
    <n v="2"/>
    <x v="161"/>
    <s v="mchamberlayne4r@bigcartel.com"/>
    <x v="0"/>
    <x v="1"/>
    <s v="M"/>
    <x v="2"/>
    <n v="31.624999999999996"/>
    <x v="40"/>
    <x v="1"/>
    <x v="0"/>
    <x v="0"/>
  </r>
  <r>
    <s v="VEA-31961-977"/>
    <x v="79"/>
    <x v="162"/>
    <s v="E-D-0.5"/>
    <n v="3"/>
    <x v="162"/>
    <s v="bflaherty4s@moonfruit.com"/>
    <x v="1"/>
    <x v="1"/>
    <s v="D"/>
    <x v="1"/>
    <n v="7.29"/>
    <x v="6"/>
    <x v="1"/>
    <x v="2"/>
    <x v="1"/>
  </r>
  <r>
    <s v="BAF-42286-205"/>
    <x v="152"/>
    <x v="163"/>
    <s v="R-M-2.5"/>
    <n v="4"/>
    <x v="163"/>
    <s v="ocolbeck4t@sina.com.cn"/>
    <x v="0"/>
    <x v="0"/>
    <s v="M"/>
    <x v="2"/>
    <n v="22.884999999999998"/>
    <x v="21"/>
    <x v="0"/>
    <x v="0"/>
    <x v="1"/>
  </r>
  <r>
    <s v="WOR-52762-511"/>
    <x v="153"/>
    <x v="164"/>
    <s v="E-L-2.5"/>
    <n v="6"/>
    <x v="164"/>
    <s v=""/>
    <x v="0"/>
    <x v="1"/>
    <s v="L"/>
    <x v="2"/>
    <n v="34.154999999999994"/>
    <x v="106"/>
    <x v="1"/>
    <x v="1"/>
    <x v="0"/>
  </r>
  <r>
    <s v="ZWK-03995-815"/>
    <x v="154"/>
    <x v="165"/>
    <s v="E-M-2.5"/>
    <n v="2"/>
    <x v="165"/>
    <s v="ehobbing4v@nsw.gov.au"/>
    <x v="0"/>
    <x v="1"/>
    <s v="M"/>
    <x v="2"/>
    <n v="31.624999999999996"/>
    <x v="40"/>
    <x v="1"/>
    <x v="0"/>
    <x v="0"/>
  </r>
  <r>
    <s v="CKF-43291-846"/>
    <x v="155"/>
    <x v="166"/>
    <s v="E-L-2.5"/>
    <n v="1"/>
    <x v="166"/>
    <s v="othynne4w@auda.org.au"/>
    <x v="0"/>
    <x v="1"/>
    <s v="L"/>
    <x v="2"/>
    <n v="34.154999999999994"/>
    <x v="107"/>
    <x v="1"/>
    <x v="1"/>
    <x v="0"/>
  </r>
  <r>
    <s v="RMW-74160-339"/>
    <x v="156"/>
    <x v="167"/>
    <s v="R-L-2.5"/>
    <n v="4"/>
    <x v="167"/>
    <s v="eheining4x@flickr.com"/>
    <x v="0"/>
    <x v="0"/>
    <s v="L"/>
    <x v="2"/>
    <n v="27.484999999999996"/>
    <x v="108"/>
    <x v="0"/>
    <x v="1"/>
    <x v="0"/>
  </r>
  <r>
    <s v="FMT-94584-786"/>
    <x v="22"/>
    <x v="168"/>
    <s v="A-L-1"/>
    <n v="2"/>
    <x v="168"/>
    <s v="kmelloi4y@imdb.com"/>
    <x v="0"/>
    <x v="2"/>
    <s v="L"/>
    <x v="0"/>
    <n v="12.95"/>
    <x v="109"/>
    <x v="2"/>
    <x v="1"/>
    <x v="1"/>
  </r>
  <r>
    <s v="NWT-78222-575"/>
    <x v="157"/>
    <x v="169"/>
    <s v="A-D-0.2"/>
    <n v="1"/>
    <x v="169"/>
    <s v=""/>
    <x v="1"/>
    <x v="2"/>
    <s v="D"/>
    <x v="3"/>
    <n v="2.9849999999999999"/>
    <x v="55"/>
    <x v="2"/>
    <x v="2"/>
    <x v="1"/>
  </r>
  <r>
    <s v="EOI-02511-919"/>
    <x v="158"/>
    <x v="170"/>
    <s v="E-L-0.2"/>
    <n v="5"/>
    <x v="170"/>
    <s v="amussen50@51.la"/>
    <x v="0"/>
    <x v="1"/>
    <s v="L"/>
    <x v="3"/>
    <n v="4.4550000000000001"/>
    <x v="110"/>
    <x v="1"/>
    <x v="1"/>
    <x v="1"/>
  </r>
  <r>
    <s v="EOI-02511-919"/>
    <x v="158"/>
    <x v="170"/>
    <s v="A-D-0.5"/>
    <n v="5"/>
    <x v="170"/>
    <s v="amussen50@51.la"/>
    <x v="0"/>
    <x v="2"/>
    <s v="D"/>
    <x v="1"/>
    <n v="5.97"/>
    <x v="44"/>
    <x v="2"/>
    <x v="2"/>
    <x v="1"/>
  </r>
  <r>
    <s v="UCT-03935-589"/>
    <x v="78"/>
    <x v="171"/>
    <s v="R-D-0.5"/>
    <n v="6"/>
    <x v="171"/>
    <s v="amundford52@nbcnews.com"/>
    <x v="0"/>
    <x v="0"/>
    <s v="D"/>
    <x v="1"/>
    <n v="5.3699999999999992"/>
    <x v="111"/>
    <x v="0"/>
    <x v="2"/>
    <x v="1"/>
  </r>
  <r>
    <s v="SBI-60013-494"/>
    <x v="159"/>
    <x v="172"/>
    <s v="E-M-0.2"/>
    <n v="2"/>
    <x v="172"/>
    <s v="twalas53@google.ca"/>
    <x v="0"/>
    <x v="1"/>
    <s v="M"/>
    <x v="3"/>
    <n v="4.125"/>
    <x v="112"/>
    <x v="1"/>
    <x v="0"/>
    <x v="1"/>
  </r>
  <r>
    <s v="QRA-73277-814"/>
    <x v="160"/>
    <x v="173"/>
    <s v="A-L-0.5"/>
    <n v="4"/>
    <x v="173"/>
    <s v="iblazewicz54@thetimes.co.uk"/>
    <x v="0"/>
    <x v="2"/>
    <s v="L"/>
    <x v="1"/>
    <n v="7.77"/>
    <x v="113"/>
    <x v="2"/>
    <x v="1"/>
    <x v="1"/>
  </r>
  <r>
    <s v="EQE-31648-909"/>
    <x v="161"/>
    <x v="174"/>
    <s v="E-D-0.5"/>
    <n v="5"/>
    <x v="174"/>
    <s v="arizzetti55@naver.com"/>
    <x v="0"/>
    <x v="1"/>
    <s v="D"/>
    <x v="1"/>
    <n v="7.29"/>
    <x v="114"/>
    <x v="1"/>
    <x v="2"/>
    <x v="0"/>
  </r>
  <r>
    <s v="QOO-24615-950"/>
    <x v="162"/>
    <x v="175"/>
    <s v="R-M-2.5"/>
    <n v="3"/>
    <x v="175"/>
    <s v="mmeriet56@noaa.gov"/>
    <x v="0"/>
    <x v="0"/>
    <s v="M"/>
    <x v="2"/>
    <n v="22.884999999999998"/>
    <x v="96"/>
    <x v="0"/>
    <x v="0"/>
    <x v="1"/>
  </r>
  <r>
    <s v="WDV-73864-037"/>
    <x v="70"/>
    <x v="176"/>
    <s v="L-M-0.5"/>
    <n v="5"/>
    <x v="176"/>
    <s v="lpratt57@netvibes.com"/>
    <x v="0"/>
    <x v="3"/>
    <s v="M"/>
    <x v="1"/>
    <n v="8.73"/>
    <x v="34"/>
    <x v="3"/>
    <x v="0"/>
    <x v="0"/>
  </r>
  <r>
    <s v="PKR-88575-066"/>
    <x v="163"/>
    <x v="177"/>
    <s v="E-L-0.2"/>
    <n v="1"/>
    <x v="177"/>
    <s v="akitchingham58@com.com"/>
    <x v="0"/>
    <x v="1"/>
    <s v="L"/>
    <x v="3"/>
    <n v="4.4550000000000001"/>
    <x v="115"/>
    <x v="1"/>
    <x v="1"/>
    <x v="0"/>
  </r>
  <r>
    <s v="BWR-85735-955"/>
    <x v="153"/>
    <x v="178"/>
    <s v="L-M-1"/>
    <n v="3"/>
    <x v="178"/>
    <s v="bbartholin59@xinhuanet.com"/>
    <x v="0"/>
    <x v="3"/>
    <s v="M"/>
    <x v="0"/>
    <n v="14.55"/>
    <x v="34"/>
    <x v="3"/>
    <x v="0"/>
    <x v="0"/>
  </r>
  <r>
    <s v="YFX-64795-136"/>
    <x v="164"/>
    <x v="179"/>
    <s v="L-M-2.5"/>
    <n v="1"/>
    <x v="179"/>
    <s v="mprinn5a@usa.gov"/>
    <x v="0"/>
    <x v="3"/>
    <s v="M"/>
    <x v="2"/>
    <n v="33.464999999999996"/>
    <x v="116"/>
    <x v="3"/>
    <x v="0"/>
    <x v="0"/>
  </r>
  <r>
    <s v="DDO-71442-967"/>
    <x v="165"/>
    <x v="180"/>
    <s v="L-D-0.2"/>
    <n v="5"/>
    <x v="180"/>
    <s v="abaudino5b@netvibes.com"/>
    <x v="0"/>
    <x v="3"/>
    <s v="D"/>
    <x v="3"/>
    <n v="3.8849999999999998"/>
    <x v="117"/>
    <x v="3"/>
    <x v="2"/>
    <x v="0"/>
  </r>
  <r>
    <s v="ILQ-11027-588"/>
    <x v="166"/>
    <x v="181"/>
    <s v="E-D-1"/>
    <n v="6"/>
    <x v="181"/>
    <s v="ppetrushanko5c@blinklist.com"/>
    <x v="1"/>
    <x v="1"/>
    <s v="D"/>
    <x v="0"/>
    <n v="12.15"/>
    <x v="118"/>
    <x v="1"/>
    <x v="2"/>
    <x v="0"/>
  </r>
  <r>
    <s v="KRZ-13868-122"/>
    <x v="167"/>
    <x v="182"/>
    <s v="E-L-1"/>
    <n v="3"/>
    <x v="182"/>
    <s v=""/>
    <x v="0"/>
    <x v="1"/>
    <s v="L"/>
    <x v="0"/>
    <n v="14.85"/>
    <x v="69"/>
    <x v="1"/>
    <x v="1"/>
    <x v="1"/>
  </r>
  <r>
    <s v="VRM-93594-914"/>
    <x v="168"/>
    <x v="183"/>
    <s v="E-D-0.5"/>
    <n v="5"/>
    <x v="183"/>
    <s v="elaird5e@bing.com"/>
    <x v="0"/>
    <x v="1"/>
    <s v="D"/>
    <x v="1"/>
    <n v="7.29"/>
    <x v="114"/>
    <x v="1"/>
    <x v="2"/>
    <x v="1"/>
  </r>
  <r>
    <s v="HXL-22497-359"/>
    <x v="169"/>
    <x v="184"/>
    <s v="A-L-1"/>
    <n v="3"/>
    <x v="184"/>
    <s v="mhowsden5f@infoseek.co.jp"/>
    <x v="0"/>
    <x v="2"/>
    <s v="L"/>
    <x v="0"/>
    <n v="12.95"/>
    <x v="5"/>
    <x v="2"/>
    <x v="1"/>
    <x v="1"/>
  </r>
  <r>
    <s v="NOP-21394-646"/>
    <x v="170"/>
    <x v="185"/>
    <s v="E-L-0.5"/>
    <n v="6"/>
    <x v="185"/>
    <s v="ncuttler5g@parallels.com"/>
    <x v="0"/>
    <x v="1"/>
    <s v="L"/>
    <x v="1"/>
    <n v="8.91"/>
    <x v="119"/>
    <x v="1"/>
    <x v="1"/>
    <x v="1"/>
  </r>
  <r>
    <s v="NOP-21394-646"/>
    <x v="170"/>
    <x v="185"/>
    <s v="L-D-2.5"/>
    <n v="2"/>
    <x v="185"/>
    <s v="ncuttler5g@parallels.com"/>
    <x v="0"/>
    <x v="3"/>
    <s v="D"/>
    <x v="2"/>
    <n v="29.784999999999997"/>
    <x v="120"/>
    <x v="3"/>
    <x v="2"/>
    <x v="1"/>
  </r>
  <r>
    <s v="NOP-21394-646"/>
    <x v="170"/>
    <x v="185"/>
    <s v="L-D-2.5"/>
    <n v="3"/>
    <x v="185"/>
    <s v="ncuttler5g@parallels.com"/>
    <x v="0"/>
    <x v="3"/>
    <s v="D"/>
    <x v="2"/>
    <n v="29.784999999999997"/>
    <x v="49"/>
    <x v="3"/>
    <x v="2"/>
    <x v="1"/>
  </r>
  <r>
    <s v="NOP-21394-646"/>
    <x v="170"/>
    <x v="185"/>
    <s v="L-L-0.5"/>
    <n v="4"/>
    <x v="185"/>
    <s v="ncuttler5g@parallels.com"/>
    <x v="0"/>
    <x v="3"/>
    <s v="L"/>
    <x v="1"/>
    <n v="9.51"/>
    <x v="82"/>
    <x v="3"/>
    <x v="1"/>
    <x v="1"/>
  </r>
  <r>
    <s v="NOP-21394-646"/>
    <x v="170"/>
    <x v="185"/>
    <s v="E-M-1"/>
    <n v="3"/>
    <x v="185"/>
    <s v="ncuttler5g@parallels.com"/>
    <x v="0"/>
    <x v="1"/>
    <s v="M"/>
    <x v="0"/>
    <n v="13.75"/>
    <x v="1"/>
    <x v="1"/>
    <x v="0"/>
    <x v="1"/>
  </r>
  <r>
    <s v="FTV-77095-168"/>
    <x v="171"/>
    <x v="186"/>
    <s v="L-L-0.5"/>
    <n v="6"/>
    <x v="186"/>
    <s v=""/>
    <x v="0"/>
    <x v="3"/>
    <s v="L"/>
    <x v="1"/>
    <n v="9.51"/>
    <x v="30"/>
    <x v="3"/>
    <x v="1"/>
    <x v="1"/>
  </r>
  <r>
    <s v="BOR-02906-411"/>
    <x v="172"/>
    <x v="187"/>
    <s v="L-D-2.5"/>
    <n v="6"/>
    <x v="187"/>
    <s v="tfelip5m@typepad.com"/>
    <x v="0"/>
    <x v="3"/>
    <s v="D"/>
    <x v="2"/>
    <n v="29.784999999999997"/>
    <x v="39"/>
    <x v="3"/>
    <x v="2"/>
    <x v="0"/>
  </r>
  <r>
    <s v="WMP-68847-770"/>
    <x v="173"/>
    <x v="188"/>
    <s v="L-L-0.2"/>
    <n v="1"/>
    <x v="188"/>
    <s v="vle5n@disqus.com"/>
    <x v="0"/>
    <x v="3"/>
    <s v="L"/>
    <x v="3"/>
    <n v="4.7549999999999999"/>
    <x v="7"/>
    <x v="3"/>
    <x v="1"/>
    <x v="1"/>
  </r>
  <r>
    <s v="TMO-22785-872"/>
    <x v="174"/>
    <x v="189"/>
    <s v="E-M-1"/>
    <n v="6"/>
    <x v="189"/>
    <s v=""/>
    <x v="0"/>
    <x v="1"/>
    <s v="M"/>
    <x v="0"/>
    <n v="13.75"/>
    <x v="121"/>
    <x v="1"/>
    <x v="0"/>
    <x v="1"/>
  </r>
  <r>
    <s v="TJG-73587-353"/>
    <x v="175"/>
    <x v="190"/>
    <s v="R-D-0.2"/>
    <n v="3"/>
    <x v="190"/>
    <s v=""/>
    <x v="0"/>
    <x v="0"/>
    <s v="D"/>
    <x v="3"/>
    <n v="2.6849999999999996"/>
    <x v="36"/>
    <x v="0"/>
    <x v="2"/>
    <x v="0"/>
  </r>
  <r>
    <s v="OOU-61343-455"/>
    <x v="176"/>
    <x v="191"/>
    <s v="A-M-1"/>
    <n v="2"/>
    <x v="191"/>
    <s v="npoolman5q@howstuffworks.com"/>
    <x v="0"/>
    <x v="2"/>
    <s v="M"/>
    <x v="0"/>
    <n v="11.25"/>
    <x v="122"/>
    <x v="2"/>
    <x v="0"/>
    <x v="1"/>
  </r>
  <r>
    <s v="RMA-08327-369"/>
    <x v="142"/>
    <x v="192"/>
    <s v="A-M-0.5"/>
    <n v="6"/>
    <x v="192"/>
    <s v="oduny5r@constantcontact.com"/>
    <x v="0"/>
    <x v="2"/>
    <s v="M"/>
    <x v="1"/>
    <n v="6.75"/>
    <x v="61"/>
    <x v="2"/>
    <x v="0"/>
    <x v="0"/>
  </r>
  <r>
    <s v="SFB-97929-779"/>
    <x v="177"/>
    <x v="193"/>
    <s v="E-D-0.5"/>
    <n v="4"/>
    <x v="193"/>
    <s v="chalfhide5s@google.ru"/>
    <x v="1"/>
    <x v="1"/>
    <s v="D"/>
    <x v="1"/>
    <n v="7.29"/>
    <x v="104"/>
    <x v="1"/>
    <x v="2"/>
    <x v="0"/>
  </r>
  <r>
    <s v="AUP-10128-606"/>
    <x v="178"/>
    <x v="194"/>
    <s v="A-M-0.5"/>
    <n v="1"/>
    <x v="194"/>
    <s v="fmalecky5t@list-manage.com"/>
    <x v="2"/>
    <x v="2"/>
    <s v="M"/>
    <x v="1"/>
    <n v="6.75"/>
    <x v="52"/>
    <x v="2"/>
    <x v="0"/>
    <x v="1"/>
  </r>
  <r>
    <s v="YTW-40242-005"/>
    <x v="179"/>
    <x v="195"/>
    <s v="L-D-1"/>
    <n v="4"/>
    <x v="195"/>
    <s v="aattwater5u@wikia.com"/>
    <x v="0"/>
    <x v="3"/>
    <s v="D"/>
    <x v="0"/>
    <n v="12.95"/>
    <x v="67"/>
    <x v="3"/>
    <x v="2"/>
    <x v="0"/>
  </r>
  <r>
    <s v="PRP-53390-819"/>
    <x v="180"/>
    <x v="196"/>
    <s v="E-L-0.5"/>
    <n v="6"/>
    <x v="196"/>
    <s v="mwhellans5v@mapquest.com"/>
    <x v="0"/>
    <x v="1"/>
    <s v="L"/>
    <x v="1"/>
    <n v="8.91"/>
    <x v="119"/>
    <x v="1"/>
    <x v="1"/>
    <x v="1"/>
  </r>
  <r>
    <s v="GSJ-01065-125"/>
    <x v="181"/>
    <x v="197"/>
    <s v="E-D-0.2"/>
    <n v="4"/>
    <x v="197"/>
    <s v="dcamilletti5w@businesswire.com"/>
    <x v="0"/>
    <x v="1"/>
    <s v="D"/>
    <x v="3"/>
    <n v="3.645"/>
    <x v="20"/>
    <x v="1"/>
    <x v="2"/>
    <x v="0"/>
  </r>
  <r>
    <s v="YQU-65147-580"/>
    <x v="182"/>
    <x v="198"/>
    <s v="R-D-2.5"/>
    <n v="1"/>
    <x v="198"/>
    <s v="egalgey5x@wufoo.com"/>
    <x v="0"/>
    <x v="0"/>
    <s v="D"/>
    <x v="2"/>
    <n v="20.584999999999997"/>
    <x v="123"/>
    <x v="0"/>
    <x v="2"/>
    <x v="1"/>
  </r>
  <r>
    <s v="QPM-95832-683"/>
    <x v="183"/>
    <x v="199"/>
    <s v="L-L-1"/>
    <n v="2"/>
    <x v="199"/>
    <s v="mhame5y@newsvine.com"/>
    <x v="1"/>
    <x v="3"/>
    <s v="L"/>
    <x v="0"/>
    <n v="15.85"/>
    <x v="124"/>
    <x v="3"/>
    <x v="1"/>
    <x v="1"/>
  </r>
  <r>
    <s v="BNQ-88920-567"/>
    <x v="184"/>
    <x v="200"/>
    <s v="L-D-0.2"/>
    <n v="6"/>
    <x v="200"/>
    <s v="igurnee5z@usnews.com"/>
    <x v="0"/>
    <x v="3"/>
    <s v="D"/>
    <x v="3"/>
    <n v="3.8849999999999998"/>
    <x v="102"/>
    <x v="3"/>
    <x v="2"/>
    <x v="1"/>
  </r>
  <r>
    <s v="PUX-47906-110"/>
    <x v="185"/>
    <x v="201"/>
    <s v="L-M-1"/>
    <n v="4"/>
    <x v="201"/>
    <s v="asnowding60@comsenz.com"/>
    <x v="0"/>
    <x v="3"/>
    <s v="M"/>
    <x v="0"/>
    <n v="14.55"/>
    <x v="125"/>
    <x v="3"/>
    <x v="0"/>
    <x v="0"/>
  </r>
  <r>
    <s v="COL-72079-610"/>
    <x v="186"/>
    <x v="202"/>
    <s v="E-L-0.5"/>
    <n v="4"/>
    <x v="202"/>
    <s v="gpoinsett61@berkeley.edu"/>
    <x v="0"/>
    <x v="1"/>
    <s v="L"/>
    <x v="1"/>
    <n v="8.91"/>
    <x v="70"/>
    <x v="1"/>
    <x v="1"/>
    <x v="1"/>
  </r>
  <r>
    <s v="LBC-45686-819"/>
    <x v="187"/>
    <x v="203"/>
    <s v="A-M-1"/>
    <n v="5"/>
    <x v="203"/>
    <s v="rfurman62@t.co"/>
    <x v="1"/>
    <x v="2"/>
    <s v="M"/>
    <x v="0"/>
    <n v="11.25"/>
    <x v="126"/>
    <x v="2"/>
    <x v="0"/>
    <x v="0"/>
  </r>
  <r>
    <s v="BLQ-03709-265"/>
    <x v="148"/>
    <x v="204"/>
    <s v="R-L-0.2"/>
    <n v="3"/>
    <x v="204"/>
    <s v="ccrosier63@xrea.com"/>
    <x v="0"/>
    <x v="0"/>
    <s v="L"/>
    <x v="3"/>
    <n v="3.5849999999999995"/>
    <x v="127"/>
    <x v="0"/>
    <x v="1"/>
    <x v="1"/>
  </r>
  <r>
    <s v="BLQ-03709-265"/>
    <x v="148"/>
    <x v="204"/>
    <s v="R-M-0.2"/>
    <n v="5"/>
    <x v="204"/>
    <s v="ccrosier63@xrea.com"/>
    <x v="0"/>
    <x v="0"/>
    <s v="M"/>
    <x v="3"/>
    <n v="2.9849999999999999"/>
    <x v="128"/>
    <x v="0"/>
    <x v="0"/>
    <x v="1"/>
  </r>
  <r>
    <s v="VFZ-91673-181"/>
    <x v="188"/>
    <x v="205"/>
    <s v="A-L-1"/>
    <n v="6"/>
    <x v="205"/>
    <s v="lrushmer65@europa.eu"/>
    <x v="0"/>
    <x v="2"/>
    <s v="L"/>
    <x v="0"/>
    <n v="12.95"/>
    <x v="17"/>
    <x v="2"/>
    <x v="1"/>
    <x v="0"/>
  </r>
  <r>
    <s v="WKD-81956-870"/>
    <x v="189"/>
    <x v="206"/>
    <s v="L-D-0.5"/>
    <n v="3"/>
    <x v="206"/>
    <s v="wedinborough66@github.io"/>
    <x v="0"/>
    <x v="3"/>
    <s v="D"/>
    <x v="1"/>
    <n v="7.77"/>
    <x v="102"/>
    <x v="3"/>
    <x v="2"/>
    <x v="1"/>
  </r>
  <r>
    <s v="TNI-91067-006"/>
    <x v="190"/>
    <x v="207"/>
    <s v="E-L-1"/>
    <n v="4"/>
    <x v="207"/>
    <s v=""/>
    <x v="0"/>
    <x v="1"/>
    <s v="L"/>
    <x v="0"/>
    <n v="14.85"/>
    <x v="48"/>
    <x v="1"/>
    <x v="1"/>
    <x v="0"/>
  </r>
  <r>
    <s v="IZA-61469-812"/>
    <x v="191"/>
    <x v="208"/>
    <s v="L-D-2.5"/>
    <n v="4"/>
    <x v="208"/>
    <s v="kbromehead68@un.org"/>
    <x v="0"/>
    <x v="3"/>
    <s v="D"/>
    <x v="2"/>
    <n v="29.784999999999997"/>
    <x v="129"/>
    <x v="3"/>
    <x v="2"/>
    <x v="0"/>
  </r>
  <r>
    <s v="PSS-22466-862"/>
    <x v="192"/>
    <x v="209"/>
    <s v="R-L-0.2"/>
    <n v="4"/>
    <x v="209"/>
    <s v="ewesterman69@si.edu"/>
    <x v="1"/>
    <x v="0"/>
    <s v="L"/>
    <x v="3"/>
    <n v="3.5849999999999995"/>
    <x v="79"/>
    <x v="0"/>
    <x v="1"/>
    <x v="1"/>
  </r>
  <r>
    <s v="REH-56504-397"/>
    <x v="193"/>
    <x v="210"/>
    <s v="A-M-2.5"/>
    <n v="5"/>
    <x v="210"/>
    <s v="ahutchens6a@amazonaws.com"/>
    <x v="0"/>
    <x v="2"/>
    <s v="M"/>
    <x v="2"/>
    <n v="25.874999999999996"/>
    <x v="130"/>
    <x v="2"/>
    <x v="0"/>
    <x v="1"/>
  </r>
  <r>
    <s v="ALA-62598-016"/>
    <x v="194"/>
    <x v="211"/>
    <s v="R-D-0.2"/>
    <n v="6"/>
    <x v="211"/>
    <s v="nwyvill6b@naver.com"/>
    <x v="2"/>
    <x v="0"/>
    <s v="D"/>
    <x v="3"/>
    <n v="2.6849999999999996"/>
    <x v="103"/>
    <x v="0"/>
    <x v="2"/>
    <x v="0"/>
  </r>
  <r>
    <s v="EYE-70374-835"/>
    <x v="195"/>
    <x v="212"/>
    <s v="R-L-0.2"/>
    <n v="5"/>
    <x v="212"/>
    <s v="bmathon6c@barnesandnoble.com"/>
    <x v="0"/>
    <x v="0"/>
    <s v="L"/>
    <x v="3"/>
    <n v="3.5849999999999995"/>
    <x v="131"/>
    <x v="0"/>
    <x v="1"/>
    <x v="1"/>
  </r>
  <r>
    <s v="CCZ-19589-212"/>
    <x v="196"/>
    <x v="213"/>
    <s v="L-M-0.2"/>
    <n v="2"/>
    <x v="213"/>
    <s v="kstreight6d@about.com"/>
    <x v="0"/>
    <x v="3"/>
    <s v="M"/>
    <x v="3"/>
    <n v="4.3650000000000002"/>
    <x v="31"/>
    <x v="3"/>
    <x v="0"/>
    <x v="1"/>
  </r>
  <r>
    <s v="BPT-83989-157"/>
    <x v="197"/>
    <x v="214"/>
    <s v="A-M-2.5"/>
    <n v="2"/>
    <x v="214"/>
    <s v="pcutchie6e@globo.com"/>
    <x v="0"/>
    <x v="2"/>
    <s v="M"/>
    <x v="2"/>
    <n v="25.874999999999996"/>
    <x v="95"/>
    <x v="2"/>
    <x v="0"/>
    <x v="1"/>
  </r>
  <r>
    <s v="YFH-87456-208"/>
    <x v="198"/>
    <x v="215"/>
    <s v="L-M-0.2"/>
    <n v="2"/>
    <x v="215"/>
    <s v=""/>
    <x v="0"/>
    <x v="3"/>
    <s v="M"/>
    <x v="3"/>
    <n v="4.3650000000000002"/>
    <x v="31"/>
    <x v="3"/>
    <x v="0"/>
    <x v="0"/>
  </r>
  <r>
    <s v="JLN-14700-924"/>
    <x v="199"/>
    <x v="216"/>
    <s v="L-L-0.2"/>
    <n v="5"/>
    <x v="216"/>
    <s v="cgheraldi6g@opera.com"/>
    <x v="2"/>
    <x v="3"/>
    <s v="L"/>
    <x v="3"/>
    <n v="4.7549999999999999"/>
    <x v="29"/>
    <x v="3"/>
    <x v="1"/>
    <x v="1"/>
  </r>
  <r>
    <s v="JVW-22582-137"/>
    <x v="200"/>
    <x v="217"/>
    <s v="E-M-0.2"/>
    <n v="5"/>
    <x v="217"/>
    <s v="bkenwell6h@over-blog.com"/>
    <x v="0"/>
    <x v="1"/>
    <s v="M"/>
    <x v="3"/>
    <n v="4.125"/>
    <x v="132"/>
    <x v="1"/>
    <x v="0"/>
    <x v="1"/>
  </r>
  <r>
    <s v="LAA-41879-001"/>
    <x v="201"/>
    <x v="218"/>
    <s v="L-L-2.5"/>
    <n v="1"/>
    <x v="218"/>
    <s v="tsutty6i@google.es"/>
    <x v="0"/>
    <x v="3"/>
    <s v="L"/>
    <x v="2"/>
    <n v="36.454999999999998"/>
    <x v="133"/>
    <x v="3"/>
    <x v="1"/>
    <x v="1"/>
  </r>
  <r>
    <s v="BRV-64870-915"/>
    <x v="202"/>
    <x v="219"/>
    <s v="L-L-2.5"/>
    <n v="5"/>
    <x v="219"/>
    <s v=""/>
    <x v="1"/>
    <x v="3"/>
    <s v="L"/>
    <x v="2"/>
    <n v="36.454999999999998"/>
    <x v="134"/>
    <x v="3"/>
    <x v="1"/>
    <x v="1"/>
  </r>
  <r>
    <s v="RGJ-12544-083"/>
    <x v="203"/>
    <x v="220"/>
    <s v="L-D-2.5"/>
    <n v="3"/>
    <x v="220"/>
    <s v="charce6k@cafepress.com"/>
    <x v="1"/>
    <x v="3"/>
    <s v="D"/>
    <x v="2"/>
    <n v="29.784999999999997"/>
    <x v="49"/>
    <x v="3"/>
    <x v="2"/>
    <x v="1"/>
  </r>
  <r>
    <s v="JJX-83339-346"/>
    <x v="204"/>
    <x v="221"/>
    <s v="R-L-0.2"/>
    <n v="1"/>
    <x v="221"/>
    <s v=""/>
    <x v="0"/>
    <x v="0"/>
    <s v="L"/>
    <x v="3"/>
    <n v="3.5849999999999995"/>
    <x v="60"/>
    <x v="0"/>
    <x v="1"/>
    <x v="0"/>
  </r>
  <r>
    <s v="BIU-21970-705"/>
    <x v="205"/>
    <x v="222"/>
    <s v="R-M-2.5"/>
    <n v="2"/>
    <x v="222"/>
    <s v="fdrysdale6m@symantec.com"/>
    <x v="0"/>
    <x v="0"/>
    <s v="M"/>
    <x v="2"/>
    <n v="22.884999999999998"/>
    <x v="135"/>
    <x v="0"/>
    <x v="0"/>
    <x v="0"/>
  </r>
  <r>
    <s v="ELJ-87741-745"/>
    <x v="206"/>
    <x v="223"/>
    <s v="E-L-1"/>
    <n v="4"/>
    <x v="223"/>
    <s v="dmagowan6n@fc2.com"/>
    <x v="0"/>
    <x v="1"/>
    <s v="L"/>
    <x v="0"/>
    <n v="14.85"/>
    <x v="48"/>
    <x v="1"/>
    <x v="1"/>
    <x v="1"/>
  </r>
  <r>
    <s v="SGI-48226-857"/>
    <x v="207"/>
    <x v="224"/>
    <s v="A-M-2.5"/>
    <n v="6"/>
    <x v="224"/>
    <s v=""/>
    <x v="0"/>
    <x v="2"/>
    <s v="M"/>
    <x v="2"/>
    <n v="25.874999999999996"/>
    <x v="71"/>
    <x v="2"/>
    <x v="0"/>
    <x v="0"/>
  </r>
  <r>
    <s v="AHV-66988-037"/>
    <x v="208"/>
    <x v="225"/>
    <s v="R-M-2.5"/>
    <n v="2"/>
    <x v="225"/>
    <s v=""/>
    <x v="0"/>
    <x v="0"/>
    <s v="M"/>
    <x v="2"/>
    <n v="22.884999999999998"/>
    <x v="135"/>
    <x v="0"/>
    <x v="0"/>
    <x v="1"/>
  </r>
  <r>
    <s v="ISK-42066-094"/>
    <x v="209"/>
    <x v="226"/>
    <s v="E-D-1"/>
    <n v="3"/>
    <x v="226"/>
    <s v="srushbrooke6q@youku.com"/>
    <x v="0"/>
    <x v="1"/>
    <s v="D"/>
    <x v="0"/>
    <n v="12.15"/>
    <x v="114"/>
    <x v="1"/>
    <x v="2"/>
    <x v="0"/>
  </r>
  <r>
    <s v="FTC-35822-530"/>
    <x v="210"/>
    <x v="227"/>
    <s v="E-D-0.5"/>
    <n v="4"/>
    <x v="227"/>
    <s v="tdrynan6r@deviantart.com"/>
    <x v="0"/>
    <x v="1"/>
    <s v="D"/>
    <x v="1"/>
    <n v="7.29"/>
    <x v="104"/>
    <x v="1"/>
    <x v="2"/>
    <x v="0"/>
  </r>
  <r>
    <s v="VSS-56247-688"/>
    <x v="211"/>
    <x v="228"/>
    <s v="L-M-2.5"/>
    <n v="4"/>
    <x v="228"/>
    <s v="eyurkov6s@hud.gov"/>
    <x v="0"/>
    <x v="3"/>
    <s v="M"/>
    <x v="2"/>
    <n v="33.464999999999996"/>
    <x v="136"/>
    <x v="3"/>
    <x v="0"/>
    <x v="1"/>
  </r>
  <r>
    <s v="HVW-25584-144"/>
    <x v="212"/>
    <x v="229"/>
    <s v="L-L-0.2"/>
    <n v="5"/>
    <x v="229"/>
    <s v="lmallan6t@state.gov"/>
    <x v="0"/>
    <x v="3"/>
    <s v="L"/>
    <x v="3"/>
    <n v="4.7549999999999999"/>
    <x v="29"/>
    <x v="3"/>
    <x v="1"/>
    <x v="0"/>
  </r>
  <r>
    <s v="MUY-15309-209"/>
    <x v="213"/>
    <x v="230"/>
    <s v="L-D-1"/>
    <n v="3"/>
    <x v="230"/>
    <s v="gbentjens6u@netlog.com"/>
    <x v="2"/>
    <x v="3"/>
    <s v="D"/>
    <x v="0"/>
    <n v="12.95"/>
    <x v="5"/>
    <x v="3"/>
    <x v="2"/>
    <x v="1"/>
  </r>
  <r>
    <s v="VAJ-44572-469"/>
    <x v="63"/>
    <x v="231"/>
    <s v="R-L-0.2"/>
    <n v="6"/>
    <x v="231"/>
    <s v=""/>
    <x v="1"/>
    <x v="0"/>
    <s v="L"/>
    <x v="3"/>
    <n v="3.5849999999999995"/>
    <x v="137"/>
    <x v="0"/>
    <x v="1"/>
    <x v="0"/>
  </r>
  <r>
    <s v="YJU-84377-606"/>
    <x v="214"/>
    <x v="232"/>
    <s v="A-D-1"/>
    <n v="1"/>
    <x v="232"/>
    <s v="lentwistle6w@omniture.com"/>
    <x v="0"/>
    <x v="2"/>
    <s v="D"/>
    <x v="0"/>
    <n v="9.9499999999999993"/>
    <x v="138"/>
    <x v="2"/>
    <x v="2"/>
    <x v="0"/>
  </r>
  <r>
    <s v="VNC-93921-469"/>
    <x v="215"/>
    <x v="233"/>
    <s v="L-L-1"/>
    <n v="1"/>
    <x v="233"/>
    <s v="zkiffe74@cyberchimps.com"/>
    <x v="0"/>
    <x v="3"/>
    <s v="L"/>
    <x v="0"/>
    <n v="15.85"/>
    <x v="80"/>
    <x v="3"/>
    <x v="1"/>
    <x v="0"/>
  </r>
  <r>
    <s v="OGB-91614-810"/>
    <x v="216"/>
    <x v="234"/>
    <s v="R-M-0.2"/>
    <n v="1"/>
    <x v="234"/>
    <s v="macott6y@pagesperso-orange.fr"/>
    <x v="0"/>
    <x v="0"/>
    <s v="M"/>
    <x v="3"/>
    <n v="2.9849999999999999"/>
    <x v="55"/>
    <x v="0"/>
    <x v="0"/>
    <x v="0"/>
  </r>
  <r>
    <s v="BQI-61647-496"/>
    <x v="217"/>
    <x v="235"/>
    <s v="E-M-1"/>
    <n v="5"/>
    <x v="235"/>
    <s v="cheaviside6z@rediff.com"/>
    <x v="0"/>
    <x v="1"/>
    <s v="M"/>
    <x v="0"/>
    <n v="13.75"/>
    <x v="85"/>
    <x v="1"/>
    <x v="0"/>
    <x v="0"/>
  </r>
  <r>
    <s v="IOM-51636-823"/>
    <x v="218"/>
    <x v="236"/>
    <s v="A-D-1"/>
    <n v="3"/>
    <x v="236"/>
    <s v=""/>
    <x v="0"/>
    <x v="2"/>
    <s v="D"/>
    <x v="0"/>
    <n v="9.9499999999999993"/>
    <x v="44"/>
    <x v="2"/>
    <x v="2"/>
    <x v="1"/>
  </r>
  <r>
    <s v="GGD-38107-641"/>
    <x v="219"/>
    <x v="237"/>
    <s v="L-M-1"/>
    <n v="4"/>
    <x v="237"/>
    <s v="lkernan71@wsj.com"/>
    <x v="0"/>
    <x v="3"/>
    <s v="M"/>
    <x v="0"/>
    <n v="14.55"/>
    <x v="125"/>
    <x v="3"/>
    <x v="0"/>
    <x v="1"/>
  </r>
  <r>
    <s v="LTO-95975-728"/>
    <x v="220"/>
    <x v="238"/>
    <s v="R-L-0.5"/>
    <n v="4"/>
    <x v="238"/>
    <s v="rmclae72@dailymotion.com"/>
    <x v="2"/>
    <x v="0"/>
    <s v="L"/>
    <x v="1"/>
    <n v="7.169999999999999"/>
    <x v="139"/>
    <x v="0"/>
    <x v="1"/>
    <x v="1"/>
  </r>
  <r>
    <s v="IGM-84664-265"/>
    <x v="114"/>
    <x v="239"/>
    <s v="R-L-0.5"/>
    <n v="3"/>
    <x v="239"/>
    <s v="cblowfelde73@ustream.tv"/>
    <x v="0"/>
    <x v="0"/>
    <s v="L"/>
    <x v="1"/>
    <n v="7.169999999999999"/>
    <x v="137"/>
    <x v="0"/>
    <x v="1"/>
    <x v="1"/>
  </r>
  <r>
    <s v="SKO-45740-621"/>
    <x v="221"/>
    <x v="233"/>
    <s v="L-M-0.5"/>
    <n v="2"/>
    <x v="233"/>
    <s v="zkiffe74@cyberchimps.com"/>
    <x v="0"/>
    <x v="3"/>
    <s v="M"/>
    <x v="1"/>
    <n v="8.73"/>
    <x v="92"/>
    <x v="3"/>
    <x v="0"/>
    <x v="0"/>
  </r>
  <r>
    <s v="FOJ-02234-063"/>
    <x v="222"/>
    <x v="240"/>
    <s v="E-D-2.5"/>
    <n v="1"/>
    <x v="240"/>
    <s v="docalleran75@ucla.edu"/>
    <x v="0"/>
    <x v="1"/>
    <s v="D"/>
    <x v="2"/>
    <n v="27.945"/>
    <x v="140"/>
    <x v="1"/>
    <x v="2"/>
    <x v="0"/>
  </r>
  <r>
    <s v="MSJ-11909-468"/>
    <x v="188"/>
    <x v="241"/>
    <s v="E-D-2.5"/>
    <n v="5"/>
    <x v="241"/>
    <s v="ccromwell76@desdev.cn"/>
    <x v="0"/>
    <x v="1"/>
    <s v="D"/>
    <x v="2"/>
    <n v="27.945"/>
    <x v="141"/>
    <x v="1"/>
    <x v="2"/>
    <x v="1"/>
  </r>
  <r>
    <s v="DKB-78053-329"/>
    <x v="223"/>
    <x v="242"/>
    <s v="R-M-0.2"/>
    <n v="2"/>
    <x v="242"/>
    <s v="ihay77@lulu.com"/>
    <x v="2"/>
    <x v="0"/>
    <s v="M"/>
    <x v="3"/>
    <n v="2.9849999999999999"/>
    <x v="9"/>
    <x v="0"/>
    <x v="0"/>
    <x v="1"/>
  </r>
  <r>
    <s v="DFZ-45083-941"/>
    <x v="224"/>
    <x v="243"/>
    <s v="R-L-2.5"/>
    <n v="1"/>
    <x v="243"/>
    <s v="ttaffarello78@sciencedaily.com"/>
    <x v="0"/>
    <x v="0"/>
    <s v="L"/>
    <x v="2"/>
    <n v="27.484999999999996"/>
    <x v="142"/>
    <x v="0"/>
    <x v="1"/>
    <x v="0"/>
  </r>
  <r>
    <s v="OTA-40969-710"/>
    <x v="83"/>
    <x v="244"/>
    <s v="R-L-1"/>
    <n v="5"/>
    <x v="244"/>
    <s v="mcanty79@jigsy.com"/>
    <x v="0"/>
    <x v="0"/>
    <s v="L"/>
    <x v="0"/>
    <n v="11.95"/>
    <x v="143"/>
    <x v="0"/>
    <x v="1"/>
    <x v="0"/>
  </r>
  <r>
    <s v="GRH-45571-667"/>
    <x v="104"/>
    <x v="245"/>
    <s v="E-M-1"/>
    <n v="3"/>
    <x v="245"/>
    <s v="jkopke7a@auda.org.au"/>
    <x v="0"/>
    <x v="1"/>
    <s v="M"/>
    <x v="0"/>
    <n v="13.75"/>
    <x v="1"/>
    <x v="1"/>
    <x v="0"/>
    <x v="1"/>
  </r>
  <r>
    <s v="NXV-05302-067"/>
    <x v="225"/>
    <x v="246"/>
    <s v="L-M-2.5"/>
    <n v="4"/>
    <x v="246"/>
    <s v=""/>
    <x v="0"/>
    <x v="3"/>
    <s v="M"/>
    <x v="2"/>
    <n v="33.464999999999996"/>
    <x v="136"/>
    <x v="3"/>
    <x v="0"/>
    <x v="1"/>
  </r>
  <r>
    <s v="VZH-86274-142"/>
    <x v="226"/>
    <x v="247"/>
    <s v="R-L-1"/>
    <n v="5"/>
    <x v="247"/>
    <s v=""/>
    <x v="1"/>
    <x v="0"/>
    <s v="L"/>
    <x v="0"/>
    <n v="11.95"/>
    <x v="143"/>
    <x v="0"/>
    <x v="1"/>
    <x v="0"/>
  </r>
  <r>
    <s v="KIX-93248-135"/>
    <x v="227"/>
    <x v="248"/>
    <s v="A-D-0.5"/>
    <n v="1"/>
    <x v="248"/>
    <s v="vhellmore7d@bbc.co.uk"/>
    <x v="0"/>
    <x v="2"/>
    <s v="D"/>
    <x v="1"/>
    <n v="5.97"/>
    <x v="9"/>
    <x v="2"/>
    <x v="2"/>
    <x v="0"/>
  </r>
  <r>
    <s v="AXR-10962-010"/>
    <x v="180"/>
    <x v="249"/>
    <s v="E-D-1"/>
    <n v="2"/>
    <x v="249"/>
    <s v="mseawright7e@nbcnews.com"/>
    <x v="2"/>
    <x v="1"/>
    <s v="D"/>
    <x v="0"/>
    <n v="12.15"/>
    <x v="76"/>
    <x v="1"/>
    <x v="2"/>
    <x v="1"/>
  </r>
  <r>
    <s v="IHS-71573-008"/>
    <x v="228"/>
    <x v="250"/>
    <s v="E-D-0.2"/>
    <n v="6"/>
    <x v="250"/>
    <s v="snortheast7f@mashable.com"/>
    <x v="0"/>
    <x v="1"/>
    <s v="D"/>
    <x v="3"/>
    <n v="3.645"/>
    <x v="6"/>
    <x v="1"/>
    <x v="2"/>
    <x v="0"/>
  </r>
  <r>
    <s v="QTR-19001-114"/>
    <x v="229"/>
    <x v="195"/>
    <s v="A-D-1"/>
    <n v="2"/>
    <x v="195"/>
    <s v="aattwater5u@wikia.com"/>
    <x v="0"/>
    <x v="2"/>
    <s v="D"/>
    <x v="0"/>
    <n v="9.9499999999999993"/>
    <x v="0"/>
    <x v="2"/>
    <x v="2"/>
    <x v="0"/>
  </r>
  <r>
    <s v="WBK-62297-910"/>
    <x v="230"/>
    <x v="251"/>
    <s v="A-D-0.2"/>
    <n v="2"/>
    <x v="251"/>
    <s v="mfearon7h@reverbnation.com"/>
    <x v="0"/>
    <x v="2"/>
    <s v="D"/>
    <x v="3"/>
    <n v="2.9849999999999999"/>
    <x v="9"/>
    <x v="2"/>
    <x v="2"/>
    <x v="1"/>
  </r>
  <r>
    <s v="OGY-19377-175"/>
    <x v="231"/>
    <x v="252"/>
    <s v="E-D-0.5"/>
    <n v="1"/>
    <x v="252"/>
    <s v=""/>
    <x v="1"/>
    <x v="1"/>
    <s v="D"/>
    <x v="1"/>
    <n v="7.29"/>
    <x v="35"/>
    <x v="1"/>
    <x v="2"/>
    <x v="0"/>
  </r>
  <r>
    <s v="ESR-66651-814"/>
    <x v="80"/>
    <x v="253"/>
    <s v="A-D-0.2"/>
    <n v="4"/>
    <x v="253"/>
    <s v="jsisneros7j@a8.net"/>
    <x v="0"/>
    <x v="2"/>
    <s v="D"/>
    <x v="3"/>
    <n v="2.9849999999999999"/>
    <x v="22"/>
    <x v="2"/>
    <x v="2"/>
    <x v="0"/>
  </r>
  <r>
    <s v="CPX-46916-770"/>
    <x v="232"/>
    <x v="254"/>
    <s v="R-L-1"/>
    <n v="6"/>
    <x v="254"/>
    <s v="zcarlson7k@bigcartel.com"/>
    <x v="1"/>
    <x v="0"/>
    <s v="L"/>
    <x v="0"/>
    <n v="11.95"/>
    <x v="144"/>
    <x v="0"/>
    <x v="1"/>
    <x v="0"/>
  </r>
  <r>
    <s v="MDC-03318-645"/>
    <x v="233"/>
    <x v="255"/>
    <s v="A-L-0.2"/>
    <n v="2"/>
    <x v="255"/>
    <s v="wmaddox7l@timesonline.co.uk"/>
    <x v="0"/>
    <x v="2"/>
    <s v="L"/>
    <x v="3"/>
    <n v="3.8849999999999998"/>
    <x v="41"/>
    <x v="2"/>
    <x v="1"/>
    <x v="1"/>
  </r>
  <r>
    <s v="SFF-86059-407"/>
    <x v="234"/>
    <x v="256"/>
    <s v="A-M-2.5"/>
    <n v="1"/>
    <x v="256"/>
    <s v="dhedlestone7m@craigslist.org"/>
    <x v="0"/>
    <x v="2"/>
    <s v="M"/>
    <x v="2"/>
    <n v="25.874999999999996"/>
    <x v="145"/>
    <x v="2"/>
    <x v="0"/>
    <x v="1"/>
  </r>
  <r>
    <s v="SCL-94540-788"/>
    <x v="235"/>
    <x v="257"/>
    <s v="E-L-2.5"/>
    <n v="6"/>
    <x v="257"/>
    <s v="tcrowthe7n@europa.eu"/>
    <x v="0"/>
    <x v="1"/>
    <s v="L"/>
    <x v="2"/>
    <n v="34.154999999999994"/>
    <x v="106"/>
    <x v="1"/>
    <x v="1"/>
    <x v="1"/>
  </r>
  <r>
    <s v="HVU-21634-076"/>
    <x v="236"/>
    <x v="258"/>
    <s v="R-L-2.5"/>
    <n v="4"/>
    <x v="258"/>
    <s v="dbury7o@tinyurl.com"/>
    <x v="1"/>
    <x v="0"/>
    <s v="L"/>
    <x v="2"/>
    <n v="27.484999999999996"/>
    <x v="108"/>
    <x v="0"/>
    <x v="1"/>
    <x v="0"/>
  </r>
  <r>
    <s v="XUS-73326-418"/>
    <x v="237"/>
    <x v="259"/>
    <s v="E-L-1"/>
    <n v="6"/>
    <x v="259"/>
    <s v="gbroadbear7p@omniture.com"/>
    <x v="0"/>
    <x v="1"/>
    <s v="L"/>
    <x v="0"/>
    <n v="14.85"/>
    <x v="146"/>
    <x v="1"/>
    <x v="1"/>
    <x v="1"/>
  </r>
  <r>
    <s v="XWD-18933-006"/>
    <x v="238"/>
    <x v="260"/>
    <s v="A-L-0.2"/>
    <n v="2"/>
    <x v="260"/>
    <s v="epalfrey7q@devhub.com"/>
    <x v="0"/>
    <x v="2"/>
    <s v="L"/>
    <x v="3"/>
    <n v="3.8849999999999998"/>
    <x v="41"/>
    <x v="2"/>
    <x v="1"/>
    <x v="0"/>
  </r>
  <r>
    <s v="HPD-65272-772"/>
    <x v="52"/>
    <x v="261"/>
    <s v="L-M-2.5"/>
    <n v="1"/>
    <x v="261"/>
    <s v="pmetrick7r@rakuten.co.jp"/>
    <x v="0"/>
    <x v="3"/>
    <s v="M"/>
    <x v="2"/>
    <n v="33.464999999999996"/>
    <x v="116"/>
    <x v="3"/>
    <x v="0"/>
    <x v="0"/>
  </r>
  <r>
    <s v="JEG-93140-224"/>
    <x v="146"/>
    <x v="262"/>
    <s v="E-M-0.5"/>
    <n v="5"/>
    <x v="262"/>
    <s v=""/>
    <x v="0"/>
    <x v="1"/>
    <s v="M"/>
    <x v="1"/>
    <n v="8.25"/>
    <x v="1"/>
    <x v="1"/>
    <x v="0"/>
    <x v="0"/>
  </r>
  <r>
    <s v="NNH-62058-950"/>
    <x v="239"/>
    <x v="263"/>
    <s v="E-L-1"/>
    <n v="4"/>
    <x v="263"/>
    <s v="kkarby7t@sbwire.com"/>
    <x v="0"/>
    <x v="1"/>
    <s v="L"/>
    <x v="0"/>
    <n v="14.85"/>
    <x v="48"/>
    <x v="1"/>
    <x v="1"/>
    <x v="0"/>
  </r>
  <r>
    <s v="LTD-71429-845"/>
    <x v="240"/>
    <x v="264"/>
    <s v="A-L-0.5"/>
    <n v="1"/>
    <x v="264"/>
    <s v="fcrumpe7u@ftc.gov"/>
    <x v="2"/>
    <x v="2"/>
    <s v="L"/>
    <x v="1"/>
    <n v="7.77"/>
    <x v="41"/>
    <x v="2"/>
    <x v="1"/>
    <x v="1"/>
  </r>
  <r>
    <s v="MPV-26985-215"/>
    <x v="241"/>
    <x v="265"/>
    <s v="R-D-0.5"/>
    <n v="1"/>
    <x v="265"/>
    <s v="achatto7v@sakura.ne.jp"/>
    <x v="2"/>
    <x v="0"/>
    <s v="D"/>
    <x v="1"/>
    <n v="5.3699999999999992"/>
    <x v="147"/>
    <x v="0"/>
    <x v="2"/>
    <x v="0"/>
  </r>
  <r>
    <s v="IYO-10245-081"/>
    <x v="242"/>
    <x v="266"/>
    <s v="E-M-2.5"/>
    <n v="3"/>
    <x v="266"/>
    <s v=""/>
    <x v="0"/>
    <x v="1"/>
    <s v="M"/>
    <x v="2"/>
    <n v="31.624999999999996"/>
    <x v="88"/>
    <x v="1"/>
    <x v="0"/>
    <x v="1"/>
  </r>
  <r>
    <s v="BYZ-39669-954"/>
    <x v="243"/>
    <x v="267"/>
    <s v="L-L-2.5"/>
    <n v="1"/>
    <x v="267"/>
    <s v=""/>
    <x v="0"/>
    <x v="3"/>
    <s v="L"/>
    <x v="2"/>
    <n v="36.454999999999998"/>
    <x v="133"/>
    <x v="3"/>
    <x v="1"/>
    <x v="1"/>
  </r>
  <r>
    <s v="EFB-72860-209"/>
    <x v="244"/>
    <x v="268"/>
    <s v="A-M-0.2"/>
    <n v="4"/>
    <x v="268"/>
    <s v="bmergue7y@umn.edu"/>
    <x v="0"/>
    <x v="2"/>
    <s v="M"/>
    <x v="3"/>
    <n v="3.375"/>
    <x v="72"/>
    <x v="2"/>
    <x v="0"/>
    <x v="0"/>
  </r>
  <r>
    <s v="GMM-72397-378"/>
    <x v="245"/>
    <x v="269"/>
    <s v="R-L-0.2"/>
    <n v="4"/>
    <x v="269"/>
    <s v="kpatise7z@jigsy.com"/>
    <x v="0"/>
    <x v="0"/>
    <s v="L"/>
    <x v="3"/>
    <n v="3.5849999999999995"/>
    <x v="79"/>
    <x v="0"/>
    <x v="1"/>
    <x v="1"/>
  </r>
  <r>
    <s v="LYP-52345-883"/>
    <x v="246"/>
    <x v="270"/>
    <s v="E-M-0.5"/>
    <n v="1"/>
    <x v="270"/>
    <s v=""/>
    <x v="1"/>
    <x v="1"/>
    <s v="M"/>
    <x v="1"/>
    <n v="8.25"/>
    <x v="112"/>
    <x v="1"/>
    <x v="0"/>
    <x v="0"/>
  </r>
  <r>
    <s v="DFK-35846-692"/>
    <x v="247"/>
    <x v="271"/>
    <s v="R-D-0.2"/>
    <n v="5"/>
    <x v="271"/>
    <s v=""/>
    <x v="0"/>
    <x v="0"/>
    <s v="D"/>
    <x v="3"/>
    <n v="2.6849999999999996"/>
    <x v="148"/>
    <x v="0"/>
    <x v="2"/>
    <x v="0"/>
  </r>
  <r>
    <s v="XAH-93337-609"/>
    <x v="248"/>
    <x v="272"/>
    <s v="A-D-1"/>
    <n v="5"/>
    <x v="272"/>
    <s v="dduke82@vkontakte.ru"/>
    <x v="0"/>
    <x v="2"/>
    <s v="D"/>
    <x v="0"/>
    <n v="9.9499999999999993"/>
    <x v="12"/>
    <x v="2"/>
    <x v="2"/>
    <x v="1"/>
  </r>
  <r>
    <s v="QKA-72582-644"/>
    <x v="249"/>
    <x v="273"/>
    <s v="E-M-0.5"/>
    <n v="2"/>
    <x v="273"/>
    <s v=""/>
    <x v="1"/>
    <x v="1"/>
    <s v="M"/>
    <x v="1"/>
    <n v="8.25"/>
    <x v="38"/>
    <x v="1"/>
    <x v="0"/>
    <x v="1"/>
  </r>
  <r>
    <s v="ZDK-84567-102"/>
    <x v="250"/>
    <x v="274"/>
    <s v="A-D-0.5"/>
    <n v="3"/>
    <x v="274"/>
    <s v="ihussey84@mapy.cz"/>
    <x v="0"/>
    <x v="2"/>
    <s v="D"/>
    <x v="1"/>
    <n v="5.97"/>
    <x v="8"/>
    <x v="2"/>
    <x v="2"/>
    <x v="1"/>
  </r>
  <r>
    <s v="WAV-38301-984"/>
    <x v="251"/>
    <x v="275"/>
    <s v="A-D-0.5"/>
    <n v="5"/>
    <x v="275"/>
    <s v="cpinkerton85@upenn.edu"/>
    <x v="0"/>
    <x v="2"/>
    <s v="D"/>
    <x v="1"/>
    <n v="5.97"/>
    <x v="44"/>
    <x v="2"/>
    <x v="2"/>
    <x v="1"/>
  </r>
  <r>
    <s v="KZR-33023-209"/>
    <x v="177"/>
    <x v="276"/>
    <s v="E-L-1"/>
    <n v="3"/>
    <x v="276"/>
    <s v=""/>
    <x v="0"/>
    <x v="1"/>
    <s v="L"/>
    <x v="0"/>
    <n v="14.85"/>
    <x v="69"/>
    <x v="1"/>
    <x v="1"/>
    <x v="1"/>
  </r>
  <r>
    <s v="ULM-49433-003"/>
    <x v="252"/>
    <x v="277"/>
    <s v="E-M-1"/>
    <n v="2"/>
    <x v="277"/>
    <s v=""/>
    <x v="0"/>
    <x v="1"/>
    <s v="M"/>
    <x v="0"/>
    <n v="13.75"/>
    <x v="3"/>
    <x v="1"/>
    <x v="0"/>
    <x v="1"/>
  </r>
  <r>
    <s v="SIB-83254-136"/>
    <x v="253"/>
    <x v="278"/>
    <s v="R-M-0.5"/>
    <n v="6"/>
    <x v="278"/>
    <s v="dvizor88@furl.net"/>
    <x v="0"/>
    <x v="0"/>
    <s v="M"/>
    <x v="1"/>
    <n v="5.97"/>
    <x v="27"/>
    <x v="0"/>
    <x v="0"/>
    <x v="0"/>
  </r>
  <r>
    <s v="NOK-50349-551"/>
    <x v="254"/>
    <x v="279"/>
    <s v="R-D-0.5"/>
    <n v="3"/>
    <x v="279"/>
    <s v="esedgebeer89@oaic.gov.au"/>
    <x v="0"/>
    <x v="0"/>
    <s v="D"/>
    <x v="1"/>
    <n v="5.3699999999999992"/>
    <x v="103"/>
    <x v="0"/>
    <x v="2"/>
    <x v="0"/>
  </r>
  <r>
    <s v="YIS-96268-844"/>
    <x v="227"/>
    <x v="280"/>
    <s v="E-L-0.2"/>
    <n v="6"/>
    <x v="280"/>
    <s v="klestrange8a@lulu.com"/>
    <x v="0"/>
    <x v="1"/>
    <s v="L"/>
    <x v="3"/>
    <n v="4.4550000000000001"/>
    <x v="149"/>
    <x v="1"/>
    <x v="1"/>
    <x v="0"/>
  </r>
  <r>
    <s v="CXI-04933-855"/>
    <x v="110"/>
    <x v="281"/>
    <s v="E-L-2.5"/>
    <n v="6"/>
    <x v="281"/>
    <s v="ltanti8b@techcrunch.com"/>
    <x v="0"/>
    <x v="1"/>
    <s v="L"/>
    <x v="2"/>
    <n v="34.154999999999994"/>
    <x v="106"/>
    <x v="1"/>
    <x v="1"/>
    <x v="0"/>
  </r>
  <r>
    <s v="IZU-90429-382"/>
    <x v="182"/>
    <x v="282"/>
    <s v="A-L-1"/>
    <n v="3"/>
    <x v="282"/>
    <s v="ade8c@1und1.de"/>
    <x v="0"/>
    <x v="2"/>
    <s v="L"/>
    <x v="0"/>
    <n v="12.95"/>
    <x v="5"/>
    <x v="2"/>
    <x v="1"/>
    <x v="0"/>
  </r>
  <r>
    <s v="WIT-40912-783"/>
    <x v="255"/>
    <x v="283"/>
    <s v="L-D-0.2"/>
    <n v="4"/>
    <x v="283"/>
    <s v="tjedrachowicz8d@acquirethisname.com"/>
    <x v="0"/>
    <x v="3"/>
    <s v="D"/>
    <x v="3"/>
    <n v="3.8849999999999998"/>
    <x v="42"/>
    <x v="3"/>
    <x v="2"/>
    <x v="0"/>
  </r>
  <r>
    <s v="PSD-57291-590"/>
    <x v="256"/>
    <x v="284"/>
    <s v="A-M-0.5"/>
    <n v="1"/>
    <x v="284"/>
    <s v="pstonner8e@moonfruit.com"/>
    <x v="0"/>
    <x v="2"/>
    <s v="M"/>
    <x v="1"/>
    <n v="6.75"/>
    <x v="52"/>
    <x v="2"/>
    <x v="0"/>
    <x v="1"/>
  </r>
  <r>
    <s v="GOI-41472-677"/>
    <x v="3"/>
    <x v="285"/>
    <s v="E-D-2.5"/>
    <n v="4"/>
    <x v="285"/>
    <s v="dtingly8f@goo.ne.jp"/>
    <x v="0"/>
    <x v="1"/>
    <s v="D"/>
    <x v="2"/>
    <n v="27.945"/>
    <x v="150"/>
    <x v="1"/>
    <x v="2"/>
    <x v="0"/>
  </r>
  <r>
    <s v="KTX-17944-494"/>
    <x v="257"/>
    <x v="286"/>
    <s v="A-L-0.2"/>
    <n v="1"/>
    <x v="286"/>
    <s v="crushe8n@about.me"/>
    <x v="0"/>
    <x v="2"/>
    <s v="L"/>
    <x v="3"/>
    <n v="3.8849999999999998"/>
    <x v="84"/>
    <x v="2"/>
    <x v="1"/>
    <x v="0"/>
  </r>
  <r>
    <s v="RDM-99811-230"/>
    <x v="258"/>
    <x v="287"/>
    <s v="L-M-0.2"/>
    <n v="5"/>
    <x v="287"/>
    <s v="bchecci8h@usa.gov"/>
    <x v="2"/>
    <x v="3"/>
    <s v="M"/>
    <x v="3"/>
    <n v="4.3650000000000002"/>
    <x v="26"/>
    <x v="3"/>
    <x v="0"/>
    <x v="1"/>
  </r>
  <r>
    <s v="JTU-55897-581"/>
    <x v="259"/>
    <x v="288"/>
    <s v="R-M-0.2"/>
    <n v="5"/>
    <x v="288"/>
    <s v="jbagot8i@mac.com"/>
    <x v="0"/>
    <x v="0"/>
    <s v="M"/>
    <x v="3"/>
    <n v="2.9849999999999999"/>
    <x v="128"/>
    <x v="0"/>
    <x v="0"/>
    <x v="1"/>
  </r>
  <r>
    <s v="CRK-07584-240"/>
    <x v="260"/>
    <x v="289"/>
    <s v="A-M-1"/>
    <n v="3"/>
    <x v="289"/>
    <s v="ebeeble8j@soundcloud.com"/>
    <x v="0"/>
    <x v="2"/>
    <s v="M"/>
    <x v="0"/>
    <n v="11.25"/>
    <x v="65"/>
    <x v="2"/>
    <x v="0"/>
    <x v="0"/>
  </r>
  <r>
    <s v="MKE-75518-399"/>
    <x v="261"/>
    <x v="290"/>
    <s v="A-M-1"/>
    <n v="3"/>
    <x v="290"/>
    <s v="cfluin8k@flickr.com"/>
    <x v="2"/>
    <x v="2"/>
    <s v="M"/>
    <x v="0"/>
    <n v="11.25"/>
    <x v="65"/>
    <x v="2"/>
    <x v="0"/>
    <x v="1"/>
  </r>
  <r>
    <s v="AEL-51169-725"/>
    <x v="262"/>
    <x v="291"/>
    <s v="L-M-0.2"/>
    <n v="6"/>
    <x v="291"/>
    <s v="ebletsor8l@vinaora.com"/>
    <x v="0"/>
    <x v="3"/>
    <s v="M"/>
    <x v="3"/>
    <n v="4.3650000000000002"/>
    <x v="50"/>
    <x v="3"/>
    <x v="0"/>
    <x v="0"/>
  </r>
  <r>
    <s v="ZGM-83108-823"/>
    <x v="263"/>
    <x v="292"/>
    <s v="E-L-1"/>
    <n v="1"/>
    <x v="292"/>
    <s v="pbrydell8m@bloglovin.com"/>
    <x v="1"/>
    <x v="1"/>
    <s v="L"/>
    <x v="0"/>
    <n v="14.85"/>
    <x v="151"/>
    <x v="1"/>
    <x v="1"/>
    <x v="1"/>
  </r>
  <r>
    <s v="JBP-78754-392"/>
    <x v="212"/>
    <x v="286"/>
    <s v="E-M-2.5"/>
    <n v="6"/>
    <x v="286"/>
    <s v="crushe8n@about.me"/>
    <x v="0"/>
    <x v="1"/>
    <s v="M"/>
    <x v="2"/>
    <n v="31.624999999999996"/>
    <x v="152"/>
    <x v="1"/>
    <x v="0"/>
    <x v="0"/>
  </r>
  <r>
    <s v="RNH-54912-747"/>
    <x v="187"/>
    <x v="293"/>
    <s v="R-M-0.5"/>
    <n v="1"/>
    <x v="293"/>
    <s v="nleethem8o@mac.com"/>
    <x v="0"/>
    <x v="0"/>
    <s v="M"/>
    <x v="1"/>
    <n v="5.97"/>
    <x v="9"/>
    <x v="0"/>
    <x v="0"/>
    <x v="0"/>
  </r>
  <r>
    <s v="JDS-33440-914"/>
    <x v="248"/>
    <x v="294"/>
    <s v="R-M-1"/>
    <n v="3"/>
    <x v="294"/>
    <s v="anesfield8p@people.com.cn"/>
    <x v="2"/>
    <x v="0"/>
    <s v="M"/>
    <x v="0"/>
    <n v="9.9499999999999993"/>
    <x v="44"/>
    <x v="0"/>
    <x v="0"/>
    <x v="0"/>
  </r>
  <r>
    <s v="SYX-48878-182"/>
    <x v="264"/>
    <x v="295"/>
    <s v="R-D-1"/>
    <n v="5"/>
    <x v="295"/>
    <s v=""/>
    <x v="0"/>
    <x v="0"/>
    <s v="D"/>
    <x v="0"/>
    <n v="8.9499999999999993"/>
    <x v="153"/>
    <x v="0"/>
    <x v="2"/>
    <x v="1"/>
  </r>
  <r>
    <s v="ZGD-94763-868"/>
    <x v="265"/>
    <x v="296"/>
    <s v="E-L-2.5"/>
    <n v="1"/>
    <x v="296"/>
    <s v="mbrockway8r@ibm.com"/>
    <x v="0"/>
    <x v="1"/>
    <s v="L"/>
    <x v="2"/>
    <n v="34.154999999999994"/>
    <x v="107"/>
    <x v="1"/>
    <x v="1"/>
    <x v="0"/>
  </r>
  <r>
    <s v="CZY-70361-485"/>
    <x v="266"/>
    <x v="297"/>
    <s v="E-L-2.5"/>
    <n v="6"/>
    <x v="297"/>
    <s v="nlush8s@dedecms.com"/>
    <x v="1"/>
    <x v="1"/>
    <s v="L"/>
    <x v="2"/>
    <n v="34.154999999999994"/>
    <x v="106"/>
    <x v="1"/>
    <x v="1"/>
    <x v="1"/>
  </r>
  <r>
    <s v="RJR-12175-899"/>
    <x v="267"/>
    <x v="298"/>
    <s v="E-D-0.5"/>
    <n v="3"/>
    <x v="298"/>
    <s v="smcmillian8t@csmonitor.com"/>
    <x v="0"/>
    <x v="1"/>
    <s v="D"/>
    <x v="1"/>
    <n v="7.29"/>
    <x v="6"/>
    <x v="1"/>
    <x v="2"/>
    <x v="1"/>
  </r>
  <r>
    <s v="ELB-07929-407"/>
    <x v="204"/>
    <x v="299"/>
    <s v="A-M-2.5"/>
    <n v="2"/>
    <x v="299"/>
    <s v="tbennison8u@google.cn"/>
    <x v="0"/>
    <x v="2"/>
    <s v="M"/>
    <x v="2"/>
    <n v="25.874999999999996"/>
    <x v="95"/>
    <x v="2"/>
    <x v="0"/>
    <x v="0"/>
  </r>
  <r>
    <s v="UJQ-54441-340"/>
    <x v="268"/>
    <x v="300"/>
    <s v="E-M-0.2"/>
    <n v="2"/>
    <x v="300"/>
    <s v="gtweed8v@yolasite.com"/>
    <x v="0"/>
    <x v="1"/>
    <s v="M"/>
    <x v="3"/>
    <n v="4.125"/>
    <x v="112"/>
    <x v="1"/>
    <x v="0"/>
    <x v="0"/>
  </r>
  <r>
    <s v="UJQ-54441-340"/>
    <x v="268"/>
    <x v="300"/>
    <s v="A-L-0.2"/>
    <n v="5"/>
    <x v="300"/>
    <s v="gtweed8v@yolasite.com"/>
    <x v="0"/>
    <x v="2"/>
    <s v="L"/>
    <x v="3"/>
    <n v="3.8849999999999998"/>
    <x v="117"/>
    <x v="2"/>
    <x v="1"/>
    <x v="0"/>
  </r>
  <r>
    <s v="OWY-43108-475"/>
    <x v="269"/>
    <x v="301"/>
    <s v="A-M-0.2"/>
    <n v="6"/>
    <x v="301"/>
    <s v="ggoggin8x@wix.com"/>
    <x v="1"/>
    <x v="2"/>
    <s v="M"/>
    <x v="3"/>
    <n v="3.375"/>
    <x v="16"/>
    <x v="2"/>
    <x v="0"/>
    <x v="0"/>
  </r>
  <r>
    <s v="GNO-91911-159"/>
    <x v="145"/>
    <x v="302"/>
    <s v="L-D-0.5"/>
    <n v="3"/>
    <x v="302"/>
    <s v="sjeyness8y@biglobe.ne.jp"/>
    <x v="1"/>
    <x v="3"/>
    <s v="D"/>
    <x v="1"/>
    <n v="7.77"/>
    <x v="102"/>
    <x v="3"/>
    <x v="2"/>
    <x v="1"/>
  </r>
  <r>
    <s v="CNY-06284-066"/>
    <x v="270"/>
    <x v="303"/>
    <s v="E-D-0.2"/>
    <n v="5"/>
    <x v="303"/>
    <s v="dbonhome8z@shinystat.com"/>
    <x v="0"/>
    <x v="1"/>
    <s v="D"/>
    <x v="3"/>
    <n v="3.645"/>
    <x v="94"/>
    <x v="1"/>
    <x v="2"/>
    <x v="0"/>
  </r>
  <r>
    <s v="OQS-46321-904"/>
    <x v="271"/>
    <x v="304"/>
    <s v="E-M-1"/>
    <n v="1"/>
    <x v="304"/>
    <s v=""/>
    <x v="0"/>
    <x v="1"/>
    <s v="M"/>
    <x v="0"/>
    <n v="13.75"/>
    <x v="154"/>
    <x v="1"/>
    <x v="0"/>
    <x v="1"/>
  </r>
  <r>
    <s v="IBW-87442-480"/>
    <x v="272"/>
    <x v="305"/>
    <s v="A-L-2.5"/>
    <n v="1"/>
    <x v="305"/>
    <s v="tle91@epa.gov"/>
    <x v="0"/>
    <x v="2"/>
    <s v="L"/>
    <x v="2"/>
    <n v="29.784999999999997"/>
    <x v="91"/>
    <x v="2"/>
    <x v="1"/>
    <x v="0"/>
  </r>
  <r>
    <s v="DGZ-82537-477"/>
    <x v="252"/>
    <x v="306"/>
    <s v="R-D-1"/>
    <n v="5"/>
    <x v="306"/>
    <s v=""/>
    <x v="0"/>
    <x v="0"/>
    <s v="D"/>
    <x v="0"/>
    <n v="8.9499999999999993"/>
    <x v="153"/>
    <x v="0"/>
    <x v="2"/>
    <x v="1"/>
  </r>
  <r>
    <s v="LPS-39089-432"/>
    <x v="273"/>
    <x v="307"/>
    <s v="R-D-1"/>
    <n v="5"/>
    <x v="307"/>
    <s v="balldridge93@yandex.ru"/>
    <x v="0"/>
    <x v="0"/>
    <s v="D"/>
    <x v="0"/>
    <n v="8.9499999999999993"/>
    <x v="153"/>
    <x v="0"/>
    <x v="2"/>
    <x v="0"/>
  </r>
  <r>
    <s v="MQU-86100-929"/>
    <x v="274"/>
    <x v="308"/>
    <s v="L-L-0.5"/>
    <n v="4"/>
    <x v="308"/>
    <s v=""/>
    <x v="0"/>
    <x v="3"/>
    <s v="L"/>
    <x v="1"/>
    <n v="9.51"/>
    <x v="82"/>
    <x v="3"/>
    <x v="1"/>
    <x v="0"/>
  </r>
  <r>
    <s v="XUR-14132-391"/>
    <x v="275"/>
    <x v="309"/>
    <s v="R-D-0.5"/>
    <n v="4"/>
    <x v="309"/>
    <s v="lgoodger95@guardian.co.uk"/>
    <x v="0"/>
    <x v="0"/>
    <s v="D"/>
    <x v="1"/>
    <n v="5.3699999999999992"/>
    <x v="155"/>
    <x v="0"/>
    <x v="2"/>
    <x v="0"/>
  </r>
  <r>
    <s v="OVI-27064-381"/>
    <x v="276"/>
    <x v="298"/>
    <s v="R-D-0.5"/>
    <n v="3"/>
    <x v="298"/>
    <s v="smcmillian8t@csmonitor.com"/>
    <x v="0"/>
    <x v="0"/>
    <s v="D"/>
    <x v="1"/>
    <n v="5.3699999999999992"/>
    <x v="103"/>
    <x v="0"/>
    <x v="2"/>
    <x v="1"/>
  </r>
  <r>
    <s v="SHP-17012-870"/>
    <x v="277"/>
    <x v="310"/>
    <s v="R-M-2.5"/>
    <n v="1"/>
    <x v="310"/>
    <s v="cdrewett97@wikipedia.org"/>
    <x v="0"/>
    <x v="0"/>
    <s v="M"/>
    <x v="2"/>
    <n v="22.884999999999998"/>
    <x v="156"/>
    <x v="0"/>
    <x v="0"/>
    <x v="0"/>
  </r>
  <r>
    <s v="FDY-03414-903"/>
    <x v="278"/>
    <x v="311"/>
    <s v="A-D-0.5"/>
    <n v="3"/>
    <x v="311"/>
    <s v="qparsons98@blogtalkradio.com"/>
    <x v="0"/>
    <x v="2"/>
    <s v="D"/>
    <x v="1"/>
    <n v="5.97"/>
    <x v="8"/>
    <x v="2"/>
    <x v="2"/>
    <x v="0"/>
  </r>
  <r>
    <s v="WXT-85291-143"/>
    <x v="279"/>
    <x v="312"/>
    <s v="R-M-0.5"/>
    <n v="4"/>
    <x v="312"/>
    <s v="vceely99@auda.org.au"/>
    <x v="0"/>
    <x v="0"/>
    <s v="M"/>
    <x v="1"/>
    <n v="5.97"/>
    <x v="86"/>
    <x v="0"/>
    <x v="0"/>
    <x v="0"/>
  </r>
  <r>
    <s v="QNP-18893-547"/>
    <x v="280"/>
    <x v="313"/>
    <s v="R-L-1"/>
    <n v="5"/>
    <x v="313"/>
    <s v=""/>
    <x v="0"/>
    <x v="0"/>
    <s v="L"/>
    <x v="0"/>
    <n v="11.95"/>
    <x v="143"/>
    <x v="0"/>
    <x v="1"/>
    <x v="1"/>
  </r>
  <r>
    <s v="DOH-92927-530"/>
    <x v="281"/>
    <x v="314"/>
    <s v="L-L-0.2"/>
    <n v="6"/>
    <x v="314"/>
    <s v="cvasiliev9b@discuz.net"/>
    <x v="0"/>
    <x v="3"/>
    <s v="L"/>
    <x v="3"/>
    <n v="4.7549999999999999"/>
    <x v="32"/>
    <x v="3"/>
    <x v="1"/>
    <x v="0"/>
  </r>
  <r>
    <s v="HGJ-82768-173"/>
    <x v="282"/>
    <x v="315"/>
    <s v="A-M-1"/>
    <n v="4"/>
    <x v="315"/>
    <s v="tomoylan9c@liveinternet.ru"/>
    <x v="2"/>
    <x v="2"/>
    <s v="M"/>
    <x v="0"/>
    <n v="11.25"/>
    <x v="157"/>
    <x v="2"/>
    <x v="0"/>
    <x v="1"/>
  </r>
  <r>
    <s v="YPT-95383-088"/>
    <x v="283"/>
    <x v="306"/>
    <s v="E-D-2.5"/>
    <n v="2"/>
    <x v="306"/>
    <s v=""/>
    <x v="0"/>
    <x v="1"/>
    <s v="D"/>
    <x v="2"/>
    <n v="27.945"/>
    <x v="158"/>
    <x v="1"/>
    <x v="2"/>
    <x v="1"/>
  </r>
  <r>
    <s v="OYH-16533-767"/>
    <x v="284"/>
    <x v="316"/>
    <s v="E-L-1"/>
    <n v="4"/>
    <x v="316"/>
    <s v="wfetherston9e@constantcontact.com"/>
    <x v="0"/>
    <x v="1"/>
    <s v="L"/>
    <x v="0"/>
    <n v="14.85"/>
    <x v="48"/>
    <x v="1"/>
    <x v="1"/>
    <x v="1"/>
  </r>
  <r>
    <s v="DWW-28642-549"/>
    <x v="285"/>
    <x v="317"/>
    <s v="E-D-0.2"/>
    <n v="2"/>
    <x v="317"/>
    <s v="erasmus9f@techcrunch.com"/>
    <x v="0"/>
    <x v="1"/>
    <s v="D"/>
    <x v="3"/>
    <n v="3.645"/>
    <x v="35"/>
    <x v="1"/>
    <x v="2"/>
    <x v="0"/>
  </r>
  <r>
    <s v="CGO-79583-871"/>
    <x v="286"/>
    <x v="318"/>
    <s v="E-D-0.5"/>
    <n v="1"/>
    <x v="318"/>
    <s v="wgiorgioni9g@wikipedia.org"/>
    <x v="0"/>
    <x v="1"/>
    <s v="D"/>
    <x v="1"/>
    <n v="7.29"/>
    <x v="35"/>
    <x v="1"/>
    <x v="2"/>
    <x v="0"/>
  </r>
  <r>
    <s v="TFY-52090-386"/>
    <x v="287"/>
    <x v="319"/>
    <s v="E-L-0.5"/>
    <n v="2"/>
    <x v="319"/>
    <s v="lscargle9h@myspace.com"/>
    <x v="0"/>
    <x v="1"/>
    <s v="L"/>
    <x v="1"/>
    <n v="8.91"/>
    <x v="58"/>
    <x v="1"/>
    <x v="1"/>
    <x v="1"/>
  </r>
  <r>
    <s v="TFY-52090-386"/>
    <x v="287"/>
    <x v="319"/>
    <s v="L-D-0.5"/>
    <n v="5"/>
    <x v="319"/>
    <s v="lscargle9h@myspace.com"/>
    <x v="0"/>
    <x v="3"/>
    <s v="D"/>
    <x v="1"/>
    <n v="7.77"/>
    <x v="5"/>
    <x v="3"/>
    <x v="2"/>
    <x v="1"/>
  </r>
  <r>
    <s v="NYY-73968-094"/>
    <x v="288"/>
    <x v="320"/>
    <s v="R-D-0.5"/>
    <n v="6"/>
    <x v="320"/>
    <s v="nclimance9j@europa.eu"/>
    <x v="0"/>
    <x v="0"/>
    <s v="D"/>
    <x v="1"/>
    <n v="5.3699999999999992"/>
    <x v="111"/>
    <x v="0"/>
    <x v="2"/>
    <x v="1"/>
  </r>
  <r>
    <s v="QEY-71761-460"/>
    <x v="250"/>
    <x v="321"/>
    <s v="R-M-1"/>
    <n v="2"/>
    <x v="321"/>
    <s v=""/>
    <x v="1"/>
    <x v="0"/>
    <s v="M"/>
    <x v="0"/>
    <n v="9.9499999999999993"/>
    <x v="0"/>
    <x v="0"/>
    <x v="0"/>
    <x v="0"/>
  </r>
  <r>
    <s v="GKQ-82603-910"/>
    <x v="289"/>
    <x v="322"/>
    <s v="R-L-1"/>
    <n v="5"/>
    <x v="322"/>
    <s v="asnazle9l@oracle.com"/>
    <x v="0"/>
    <x v="0"/>
    <s v="L"/>
    <x v="0"/>
    <n v="11.95"/>
    <x v="143"/>
    <x v="0"/>
    <x v="1"/>
    <x v="1"/>
  </r>
  <r>
    <s v="IOB-32673-745"/>
    <x v="290"/>
    <x v="323"/>
    <s v="A-L-0.5"/>
    <n v="3"/>
    <x v="323"/>
    <s v="rworg9m@arstechnica.com"/>
    <x v="0"/>
    <x v="2"/>
    <s v="L"/>
    <x v="1"/>
    <n v="7.77"/>
    <x v="102"/>
    <x v="2"/>
    <x v="1"/>
    <x v="0"/>
  </r>
  <r>
    <s v="YAU-98893-150"/>
    <x v="291"/>
    <x v="324"/>
    <s v="L-M-1"/>
    <n v="3"/>
    <x v="324"/>
    <s v="ldanes9n@umn.edu"/>
    <x v="0"/>
    <x v="3"/>
    <s v="M"/>
    <x v="0"/>
    <n v="14.55"/>
    <x v="34"/>
    <x v="3"/>
    <x v="0"/>
    <x v="1"/>
  </r>
  <r>
    <s v="XNM-14163-951"/>
    <x v="292"/>
    <x v="325"/>
    <s v="E-L-2.5"/>
    <n v="6"/>
    <x v="325"/>
    <s v="skeynd9o@narod.ru"/>
    <x v="0"/>
    <x v="1"/>
    <s v="L"/>
    <x v="2"/>
    <n v="34.154999999999994"/>
    <x v="106"/>
    <x v="1"/>
    <x v="1"/>
    <x v="1"/>
  </r>
  <r>
    <s v="JPB-45297-000"/>
    <x v="293"/>
    <x v="326"/>
    <s v="R-L-0.2"/>
    <n v="4"/>
    <x v="326"/>
    <s v="ddaveridge9p@arstechnica.com"/>
    <x v="0"/>
    <x v="0"/>
    <s v="L"/>
    <x v="3"/>
    <n v="3.5849999999999995"/>
    <x v="79"/>
    <x v="0"/>
    <x v="1"/>
    <x v="1"/>
  </r>
  <r>
    <s v="MOU-74341-266"/>
    <x v="294"/>
    <x v="327"/>
    <s v="A-D-0.5"/>
    <n v="4"/>
    <x v="327"/>
    <s v="jawdry9q@utexas.edu"/>
    <x v="0"/>
    <x v="2"/>
    <s v="D"/>
    <x v="1"/>
    <n v="5.97"/>
    <x v="86"/>
    <x v="2"/>
    <x v="2"/>
    <x v="1"/>
  </r>
  <r>
    <s v="DHJ-87461-571"/>
    <x v="295"/>
    <x v="328"/>
    <s v="A-M-1"/>
    <n v="2"/>
    <x v="328"/>
    <s v="eryles9r@fastcompany.com"/>
    <x v="0"/>
    <x v="2"/>
    <s v="M"/>
    <x v="0"/>
    <n v="11.25"/>
    <x v="122"/>
    <x v="2"/>
    <x v="0"/>
    <x v="1"/>
  </r>
  <r>
    <s v="DKM-97676-850"/>
    <x v="296"/>
    <x v="306"/>
    <s v="E-D-0.5"/>
    <n v="5"/>
    <x v="306"/>
    <s v=""/>
    <x v="0"/>
    <x v="1"/>
    <s v="D"/>
    <x v="1"/>
    <n v="7.29"/>
    <x v="114"/>
    <x v="1"/>
    <x v="2"/>
    <x v="1"/>
  </r>
  <r>
    <s v="UEB-09112-118"/>
    <x v="297"/>
    <x v="329"/>
    <s v="A-M-0.5"/>
    <n v="4"/>
    <x v="329"/>
    <s v=""/>
    <x v="0"/>
    <x v="2"/>
    <s v="M"/>
    <x v="1"/>
    <n v="6.75"/>
    <x v="25"/>
    <x v="2"/>
    <x v="0"/>
    <x v="0"/>
  </r>
  <r>
    <s v="ORZ-67699-748"/>
    <x v="298"/>
    <x v="330"/>
    <s v="A-M-2.5"/>
    <n v="6"/>
    <x v="330"/>
    <s v="jcaldicott9u@usda.gov"/>
    <x v="0"/>
    <x v="2"/>
    <s v="M"/>
    <x v="2"/>
    <n v="25.874999999999996"/>
    <x v="71"/>
    <x v="2"/>
    <x v="0"/>
    <x v="1"/>
  </r>
  <r>
    <s v="JXP-28398-485"/>
    <x v="299"/>
    <x v="331"/>
    <s v="A-D-2.5"/>
    <n v="5"/>
    <x v="331"/>
    <s v="mvedmore9v@a8.net"/>
    <x v="0"/>
    <x v="2"/>
    <s v="D"/>
    <x v="2"/>
    <n v="22.884999999999998"/>
    <x v="15"/>
    <x v="2"/>
    <x v="2"/>
    <x v="0"/>
  </r>
  <r>
    <s v="WWH-92259-198"/>
    <x v="300"/>
    <x v="332"/>
    <s v="L-D-1"/>
    <n v="4"/>
    <x v="332"/>
    <s v="wromao9w@chronoengine.com"/>
    <x v="0"/>
    <x v="3"/>
    <s v="D"/>
    <x v="0"/>
    <n v="12.95"/>
    <x v="67"/>
    <x v="3"/>
    <x v="2"/>
    <x v="0"/>
  </r>
  <r>
    <s v="FLR-82914-153"/>
    <x v="301"/>
    <x v="333"/>
    <s v="A-M-2.5"/>
    <n v="6"/>
    <x v="333"/>
    <s v=""/>
    <x v="0"/>
    <x v="2"/>
    <s v="M"/>
    <x v="2"/>
    <n v="25.874999999999996"/>
    <x v="71"/>
    <x v="2"/>
    <x v="0"/>
    <x v="1"/>
  </r>
  <r>
    <s v="AMB-93600-000"/>
    <x v="302"/>
    <x v="334"/>
    <s v="A-L-2.5"/>
    <n v="1"/>
    <x v="334"/>
    <s v="tcotmore9y@amazonaws.com"/>
    <x v="0"/>
    <x v="2"/>
    <s v="L"/>
    <x v="2"/>
    <n v="29.784999999999997"/>
    <x v="91"/>
    <x v="2"/>
    <x v="1"/>
    <x v="1"/>
  </r>
  <r>
    <s v="FEP-36895-658"/>
    <x v="303"/>
    <x v="335"/>
    <s v="R-L-0.2"/>
    <n v="6"/>
    <x v="335"/>
    <s v="yskipsey9z@spotify.com"/>
    <x v="2"/>
    <x v="0"/>
    <s v="L"/>
    <x v="3"/>
    <n v="3.5849999999999995"/>
    <x v="137"/>
    <x v="0"/>
    <x v="1"/>
    <x v="1"/>
  </r>
  <r>
    <s v="RXW-91413-276"/>
    <x v="304"/>
    <x v="336"/>
    <s v="R-D-2.5"/>
    <n v="2"/>
    <x v="336"/>
    <s v="ncorpsa0@gmpg.org"/>
    <x v="0"/>
    <x v="0"/>
    <s v="D"/>
    <x v="2"/>
    <n v="20.584999999999997"/>
    <x v="13"/>
    <x v="0"/>
    <x v="2"/>
    <x v="1"/>
  </r>
  <r>
    <s v="RXW-91413-276"/>
    <x v="304"/>
    <x v="336"/>
    <s v="R-M-0.5"/>
    <n v="1"/>
    <x v="336"/>
    <s v="ncorpsa0@gmpg.org"/>
    <x v="0"/>
    <x v="0"/>
    <s v="M"/>
    <x v="1"/>
    <n v="5.97"/>
    <x v="9"/>
    <x v="0"/>
    <x v="0"/>
    <x v="1"/>
  </r>
  <r>
    <s v="SDB-77492-188"/>
    <x v="305"/>
    <x v="337"/>
    <s v="E-L-1"/>
    <n v="5"/>
    <x v="337"/>
    <s v="fbabbera2@stanford.edu"/>
    <x v="0"/>
    <x v="1"/>
    <s v="L"/>
    <x v="0"/>
    <n v="14.85"/>
    <x v="159"/>
    <x v="1"/>
    <x v="1"/>
    <x v="0"/>
  </r>
  <r>
    <s v="RZN-65182-395"/>
    <x v="196"/>
    <x v="338"/>
    <s v="L-M-1"/>
    <n v="6"/>
    <x v="338"/>
    <s v="kloxtona3@opensource.org"/>
    <x v="0"/>
    <x v="3"/>
    <s v="M"/>
    <x v="0"/>
    <n v="14.55"/>
    <x v="75"/>
    <x v="3"/>
    <x v="0"/>
    <x v="1"/>
  </r>
  <r>
    <s v="HDQ-86094-507"/>
    <x v="110"/>
    <x v="339"/>
    <s v="E-D-1"/>
    <n v="6"/>
    <x v="339"/>
    <s v="ptoffula4@posterous.com"/>
    <x v="0"/>
    <x v="1"/>
    <s v="D"/>
    <x v="0"/>
    <n v="12.15"/>
    <x v="118"/>
    <x v="1"/>
    <x v="2"/>
    <x v="0"/>
  </r>
  <r>
    <s v="YXO-79631-417"/>
    <x v="24"/>
    <x v="340"/>
    <s v="L-D-0.5"/>
    <n v="1"/>
    <x v="340"/>
    <s v="cgwinnetta5@behance.net"/>
    <x v="0"/>
    <x v="3"/>
    <s v="D"/>
    <x v="1"/>
    <n v="7.77"/>
    <x v="41"/>
    <x v="3"/>
    <x v="2"/>
    <x v="1"/>
  </r>
  <r>
    <s v="SNF-57032-096"/>
    <x v="306"/>
    <x v="341"/>
    <s v="E-D-0.5"/>
    <n v="6"/>
    <x v="341"/>
    <s v=""/>
    <x v="0"/>
    <x v="1"/>
    <s v="D"/>
    <x v="1"/>
    <n v="7.29"/>
    <x v="160"/>
    <x v="1"/>
    <x v="2"/>
    <x v="1"/>
  </r>
  <r>
    <s v="DGL-29648-995"/>
    <x v="307"/>
    <x v="342"/>
    <s v="L-M-0.2"/>
    <n v="2"/>
    <x v="342"/>
    <s v=""/>
    <x v="0"/>
    <x v="3"/>
    <s v="M"/>
    <x v="3"/>
    <n v="4.3650000000000002"/>
    <x v="31"/>
    <x v="3"/>
    <x v="0"/>
    <x v="0"/>
  </r>
  <r>
    <s v="GPU-65651-504"/>
    <x v="308"/>
    <x v="343"/>
    <s v="E-M-2.5"/>
    <n v="2"/>
    <x v="343"/>
    <s v="lflaoniera8@wordpress.org"/>
    <x v="0"/>
    <x v="1"/>
    <s v="M"/>
    <x v="2"/>
    <n v="31.624999999999996"/>
    <x v="40"/>
    <x v="1"/>
    <x v="0"/>
    <x v="1"/>
  </r>
  <r>
    <s v="OJU-34452-896"/>
    <x v="309"/>
    <x v="344"/>
    <s v="E-L-0.5"/>
    <n v="1"/>
    <x v="344"/>
    <s v=""/>
    <x v="0"/>
    <x v="1"/>
    <s v="L"/>
    <x v="1"/>
    <n v="8.91"/>
    <x v="161"/>
    <x v="1"/>
    <x v="1"/>
    <x v="0"/>
  </r>
  <r>
    <s v="GZS-50547-887"/>
    <x v="310"/>
    <x v="345"/>
    <s v="E-D-1"/>
    <n v="2"/>
    <x v="345"/>
    <s v="ccatchesideaa@macromedia.com"/>
    <x v="0"/>
    <x v="1"/>
    <s v="D"/>
    <x v="0"/>
    <n v="12.15"/>
    <x v="76"/>
    <x v="1"/>
    <x v="2"/>
    <x v="0"/>
  </r>
  <r>
    <s v="ESR-54041-053"/>
    <x v="311"/>
    <x v="346"/>
    <s v="A-L-0.5"/>
    <n v="6"/>
    <x v="346"/>
    <s v="cgibbonsonab@accuweather.com"/>
    <x v="0"/>
    <x v="2"/>
    <s v="L"/>
    <x v="1"/>
    <n v="7.77"/>
    <x v="162"/>
    <x v="2"/>
    <x v="1"/>
    <x v="0"/>
  </r>
  <r>
    <s v="OGD-10781-526"/>
    <x v="132"/>
    <x v="347"/>
    <s v="R-L-0.5"/>
    <n v="6"/>
    <x v="347"/>
    <s v="tfarraac@behance.net"/>
    <x v="0"/>
    <x v="0"/>
    <s v="L"/>
    <x v="1"/>
    <n v="7.169999999999999"/>
    <x v="163"/>
    <x v="0"/>
    <x v="1"/>
    <x v="1"/>
  </r>
  <r>
    <s v="FVH-29271-315"/>
    <x v="312"/>
    <x v="348"/>
    <s v="A-D-0.5"/>
    <n v="3"/>
    <x v="348"/>
    <s v=""/>
    <x v="1"/>
    <x v="2"/>
    <s v="D"/>
    <x v="1"/>
    <n v="5.97"/>
    <x v="8"/>
    <x v="2"/>
    <x v="2"/>
    <x v="0"/>
  </r>
  <r>
    <s v="BNZ-20544-633"/>
    <x v="313"/>
    <x v="349"/>
    <s v="L-L-0.5"/>
    <n v="4"/>
    <x v="349"/>
    <s v="gbamfieldae@yellowpages.com"/>
    <x v="0"/>
    <x v="3"/>
    <s v="L"/>
    <x v="1"/>
    <n v="9.51"/>
    <x v="82"/>
    <x v="3"/>
    <x v="1"/>
    <x v="0"/>
  </r>
  <r>
    <s v="FUX-85791-078"/>
    <x v="156"/>
    <x v="350"/>
    <s v="A-M-0.2"/>
    <n v="2"/>
    <x v="350"/>
    <s v="whollingdaleaf@about.me"/>
    <x v="0"/>
    <x v="2"/>
    <s v="M"/>
    <x v="3"/>
    <n v="3.375"/>
    <x v="52"/>
    <x v="2"/>
    <x v="0"/>
    <x v="0"/>
  </r>
  <r>
    <s v="YXP-20078-116"/>
    <x v="314"/>
    <x v="351"/>
    <s v="R-M-0.5"/>
    <n v="1"/>
    <x v="351"/>
    <s v="jdeag@xrea.com"/>
    <x v="0"/>
    <x v="0"/>
    <s v="M"/>
    <x v="1"/>
    <n v="5.97"/>
    <x v="9"/>
    <x v="0"/>
    <x v="0"/>
    <x v="0"/>
  </r>
  <r>
    <s v="VQV-59984-866"/>
    <x v="315"/>
    <x v="352"/>
    <s v="R-D-0.2"/>
    <n v="3"/>
    <x v="352"/>
    <s v="vskulletah@tinyurl.com"/>
    <x v="1"/>
    <x v="0"/>
    <s v="D"/>
    <x v="3"/>
    <n v="2.6849999999999996"/>
    <x v="36"/>
    <x v="0"/>
    <x v="2"/>
    <x v="1"/>
  </r>
  <r>
    <s v="JEH-37276-048"/>
    <x v="316"/>
    <x v="353"/>
    <s v="A-L-0.5"/>
    <n v="3"/>
    <x v="353"/>
    <s v="jrudeforthai@wunderground.com"/>
    <x v="1"/>
    <x v="2"/>
    <s v="L"/>
    <x v="1"/>
    <n v="7.77"/>
    <x v="102"/>
    <x v="2"/>
    <x v="1"/>
    <x v="0"/>
  </r>
  <r>
    <s v="VYD-28555-589"/>
    <x v="317"/>
    <x v="354"/>
    <s v="R-L-0.5"/>
    <n v="6"/>
    <x v="354"/>
    <s v="atomaszewskiaj@answers.com"/>
    <x v="2"/>
    <x v="0"/>
    <s v="L"/>
    <x v="1"/>
    <n v="7.169999999999999"/>
    <x v="163"/>
    <x v="0"/>
    <x v="1"/>
    <x v="0"/>
  </r>
  <r>
    <s v="WUG-76466-650"/>
    <x v="318"/>
    <x v="306"/>
    <s v="L-D-0.5"/>
    <n v="3"/>
    <x v="306"/>
    <s v=""/>
    <x v="0"/>
    <x v="3"/>
    <s v="D"/>
    <x v="1"/>
    <n v="7.77"/>
    <x v="102"/>
    <x v="3"/>
    <x v="2"/>
    <x v="1"/>
  </r>
  <r>
    <s v="RJV-08261-583"/>
    <x v="182"/>
    <x v="355"/>
    <s v="A-D-0.2"/>
    <n v="5"/>
    <x v="355"/>
    <s v="pbessal@qq.com"/>
    <x v="0"/>
    <x v="2"/>
    <s v="D"/>
    <x v="3"/>
    <n v="2.9849999999999999"/>
    <x v="128"/>
    <x v="2"/>
    <x v="2"/>
    <x v="0"/>
  </r>
  <r>
    <s v="PMR-56062-609"/>
    <x v="319"/>
    <x v="356"/>
    <s v="E-D-0.5"/>
    <n v="3"/>
    <x v="356"/>
    <s v="ewindressam@marketwatch.com"/>
    <x v="0"/>
    <x v="1"/>
    <s v="D"/>
    <x v="1"/>
    <n v="7.29"/>
    <x v="6"/>
    <x v="1"/>
    <x v="2"/>
    <x v="1"/>
  </r>
  <r>
    <s v="XLD-12920-505"/>
    <x v="320"/>
    <x v="357"/>
    <s v="E-L-0.5"/>
    <n v="6"/>
    <x v="357"/>
    <s v=""/>
    <x v="0"/>
    <x v="1"/>
    <s v="L"/>
    <x v="1"/>
    <n v="8.91"/>
    <x v="119"/>
    <x v="1"/>
    <x v="1"/>
    <x v="0"/>
  </r>
  <r>
    <s v="UBW-50312-037"/>
    <x v="321"/>
    <x v="358"/>
    <s v="A-L-2.5"/>
    <n v="4"/>
    <x v="358"/>
    <s v=""/>
    <x v="0"/>
    <x v="2"/>
    <s v="L"/>
    <x v="2"/>
    <n v="29.784999999999997"/>
    <x v="129"/>
    <x v="2"/>
    <x v="1"/>
    <x v="1"/>
  </r>
  <r>
    <s v="QAW-05889-019"/>
    <x v="322"/>
    <x v="359"/>
    <s v="L-M-0.5"/>
    <n v="5"/>
    <x v="359"/>
    <s v="vbaumadierap@google.cn"/>
    <x v="0"/>
    <x v="3"/>
    <s v="M"/>
    <x v="1"/>
    <n v="8.73"/>
    <x v="34"/>
    <x v="3"/>
    <x v="0"/>
    <x v="0"/>
  </r>
  <r>
    <s v="EPT-12715-397"/>
    <x v="128"/>
    <x v="360"/>
    <s v="A-D-0.2"/>
    <n v="6"/>
    <x v="360"/>
    <s v=""/>
    <x v="0"/>
    <x v="2"/>
    <s v="D"/>
    <x v="3"/>
    <n v="2.9849999999999999"/>
    <x v="8"/>
    <x v="2"/>
    <x v="2"/>
    <x v="0"/>
  </r>
  <r>
    <s v="DHT-93810-053"/>
    <x v="323"/>
    <x v="361"/>
    <s v="E-L-1"/>
    <n v="5"/>
    <x v="361"/>
    <s v="sweldsar@wired.com"/>
    <x v="0"/>
    <x v="1"/>
    <s v="L"/>
    <x v="0"/>
    <n v="14.85"/>
    <x v="159"/>
    <x v="1"/>
    <x v="1"/>
    <x v="0"/>
  </r>
  <r>
    <s v="DMY-96037-963"/>
    <x v="324"/>
    <x v="362"/>
    <s v="L-D-0.2"/>
    <n v="3"/>
    <x v="362"/>
    <s v="msarvaras@artisteer.com"/>
    <x v="0"/>
    <x v="3"/>
    <s v="D"/>
    <x v="3"/>
    <n v="3.8849999999999998"/>
    <x v="14"/>
    <x v="3"/>
    <x v="2"/>
    <x v="0"/>
  </r>
  <r>
    <s v="MBM-55936-917"/>
    <x v="325"/>
    <x v="363"/>
    <s v="L-D-0.5"/>
    <n v="3"/>
    <x v="363"/>
    <s v="ahavickat@nsw.gov.au"/>
    <x v="0"/>
    <x v="3"/>
    <s v="D"/>
    <x v="1"/>
    <n v="7.77"/>
    <x v="102"/>
    <x v="3"/>
    <x v="2"/>
    <x v="0"/>
  </r>
  <r>
    <s v="TPA-93614-840"/>
    <x v="326"/>
    <x v="364"/>
    <s v="E-D-0.5"/>
    <n v="2"/>
    <x v="364"/>
    <s v="sdivinyau@ask.com"/>
    <x v="0"/>
    <x v="1"/>
    <s v="D"/>
    <x v="1"/>
    <n v="7.29"/>
    <x v="20"/>
    <x v="1"/>
    <x v="2"/>
    <x v="0"/>
  </r>
  <r>
    <s v="WDM-77521-710"/>
    <x v="327"/>
    <x v="365"/>
    <s v="A-M-0.5"/>
    <n v="2"/>
    <x v="365"/>
    <s v="inorquoyav@businessweek.com"/>
    <x v="0"/>
    <x v="2"/>
    <s v="M"/>
    <x v="1"/>
    <n v="6.75"/>
    <x v="72"/>
    <x v="2"/>
    <x v="0"/>
    <x v="1"/>
  </r>
  <r>
    <s v="EIP-19142-462"/>
    <x v="328"/>
    <x v="366"/>
    <s v="E-L-1"/>
    <n v="6"/>
    <x v="366"/>
    <s v="aiddisonaw@usa.gov"/>
    <x v="0"/>
    <x v="1"/>
    <s v="L"/>
    <x v="0"/>
    <n v="14.85"/>
    <x v="146"/>
    <x v="1"/>
    <x v="1"/>
    <x v="1"/>
  </r>
  <r>
    <s v="EIP-19142-462"/>
    <x v="328"/>
    <x v="366"/>
    <s v="A-L-0.2"/>
    <n v="1"/>
    <x v="366"/>
    <s v="aiddisonaw@usa.gov"/>
    <x v="0"/>
    <x v="2"/>
    <s v="L"/>
    <x v="3"/>
    <n v="3.8849999999999998"/>
    <x v="84"/>
    <x v="2"/>
    <x v="1"/>
    <x v="1"/>
  </r>
  <r>
    <s v="ZZL-76364-387"/>
    <x v="128"/>
    <x v="367"/>
    <s v="R-L-2.5"/>
    <n v="4"/>
    <x v="367"/>
    <s v="rlongfielday@bluehost.com"/>
    <x v="0"/>
    <x v="0"/>
    <s v="L"/>
    <x v="2"/>
    <n v="27.484999999999996"/>
    <x v="108"/>
    <x v="0"/>
    <x v="1"/>
    <x v="1"/>
  </r>
  <r>
    <s v="GMF-18638-786"/>
    <x v="329"/>
    <x v="368"/>
    <s v="L-D-0.5"/>
    <n v="6"/>
    <x v="368"/>
    <s v="gkislingburyaz@samsung.com"/>
    <x v="0"/>
    <x v="3"/>
    <s v="D"/>
    <x v="1"/>
    <n v="7.77"/>
    <x v="162"/>
    <x v="3"/>
    <x v="2"/>
    <x v="0"/>
  </r>
  <r>
    <s v="TDJ-20844-787"/>
    <x v="330"/>
    <x v="369"/>
    <s v="A-L-0.5"/>
    <n v="5"/>
    <x v="369"/>
    <s v="xgibbonsb0@artisteer.com"/>
    <x v="0"/>
    <x v="2"/>
    <s v="L"/>
    <x v="1"/>
    <n v="7.77"/>
    <x v="5"/>
    <x v="2"/>
    <x v="1"/>
    <x v="1"/>
  </r>
  <r>
    <s v="BWK-39400-446"/>
    <x v="331"/>
    <x v="370"/>
    <s v="L-D-0.5"/>
    <n v="4"/>
    <x v="370"/>
    <s v="fparresb1@imageshack.us"/>
    <x v="0"/>
    <x v="3"/>
    <s v="D"/>
    <x v="1"/>
    <n v="7.77"/>
    <x v="113"/>
    <x v="3"/>
    <x v="2"/>
    <x v="0"/>
  </r>
  <r>
    <s v="LCB-02099-995"/>
    <x v="332"/>
    <x v="371"/>
    <s v="A-D-0.2"/>
    <n v="6"/>
    <x v="371"/>
    <s v="gsibrayb2@wsj.com"/>
    <x v="0"/>
    <x v="2"/>
    <s v="D"/>
    <x v="3"/>
    <n v="2.9849999999999999"/>
    <x v="8"/>
    <x v="2"/>
    <x v="2"/>
    <x v="0"/>
  </r>
  <r>
    <s v="UBA-43678-174"/>
    <x v="333"/>
    <x v="372"/>
    <s v="E-D-2.5"/>
    <n v="6"/>
    <x v="372"/>
    <s v="ihotchkinb3@mit.edu"/>
    <x v="2"/>
    <x v="1"/>
    <s v="D"/>
    <x v="2"/>
    <n v="27.945"/>
    <x v="164"/>
    <x v="1"/>
    <x v="2"/>
    <x v="1"/>
  </r>
  <r>
    <s v="UDH-24280-432"/>
    <x v="334"/>
    <x v="373"/>
    <s v="L-L-1"/>
    <n v="4"/>
    <x v="373"/>
    <s v="nbroadberrieb4@gnu.org"/>
    <x v="0"/>
    <x v="3"/>
    <s v="L"/>
    <x v="0"/>
    <n v="15.85"/>
    <x v="165"/>
    <x v="3"/>
    <x v="1"/>
    <x v="1"/>
  </r>
  <r>
    <s v="IDQ-20193-502"/>
    <x v="335"/>
    <x v="374"/>
    <s v="L-M-0.2"/>
    <n v="2"/>
    <x v="374"/>
    <s v="rpithcockb5@yellowbook.com"/>
    <x v="0"/>
    <x v="3"/>
    <s v="M"/>
    <x v="3"/>
    <n v="4.3650000000000002"/>
    <x v="31"/>
    <x v="3"/>
    <x v="0"/>
    <x v="0"/>
  </r>
  <r>
    <s v="DJG-14442-608"/>
    <x v="336"/>
    <x v="375"/>
    <s v="R-D-1"/>
    <n v="3"/>
    <x v="375"/>
    <s v="gcroysdaleb6@nih.gov"/>
    <x v="0"/>
    <x v="0"/>
    <s v="D"/>
    <x v="0"/>
    <n v="8.9499999999999993"/>
    <x v="166"/>
    <x v="0"/>
    <x v="2"/>
    <x v="0"/>
  </r>
  <r>
    <s v="DWB-61381-370"/>
    <x v="337"/>
    <x v="376"/>
    <s v="L-L-0.2"/>
    <n v="2"/>
    <x v="376"/>
    <s v="bgozzettb7@github.com"/>
    <x v="0"/>
    <x v="3"/>
    <s v="L"/>
    <x v="3"/>
    <n v="4.7549999999999999"/>
    <x v="54"/>
    <x v="3"/>
    <x v="1"/>
    <x v="1"/>
  </r>
  <r>
    <s v="FRD-17347-990"/>
    <x v="80"/>
    <x v="377"/>
    <s v="A-D-1"/>
    <n v="4"/>
    <x v="377"/>
    <s v="tcraggsb8@house.gov"/>
    <x v="1"/>
    <x v="2"/>
    <s v="D"/>
    <x v="0"/>
    <n v="9.9499999999999993"/>
    <x v="10"/>
    <x v="2"/>
    <x v="2"/>
    <x v="1"/>
  </r>
  <r>
    <s v="YPP-27450-525"/>
    <x v="338"/>
    <x v="378"/>
    <s v="E-M-0.5"/>
    <n v="3"/>
    <x v="378"/>
    <s v="lcullrfordb9@xing.com"/>
    <x v="0"/>
    <x v="1"/>
    <s v="M"/>
    <x v="1"/>
    <n v="8.25"/>
    <x v="167"/>
    <x v="1"/>
    <x v="0"/>
    <x v="0"/>
  </r>
  <r>
    <s v="EFC-39577-424"/>
    <x v="339"/>
    <x v="379"/>
    <s v="E-M-1"/>
    <n v="5"/>
    <x v="379"/>
    <s v="arizonba@xing.com"/>
    <x v="0"/>
    <x v="1"/>
    <s v="M"/>
    <x v="0"/>
    <n v="13.75"/>
    <x v="85"/>
    <x v="1"/>
    <x v="0"/>
    <x v="0"/>
  </r>
  <r>
    <s v="LAW-80062-016"/>
    <x v="340"/>
    <x v="380"/>
    <s v="E-M-0.5"/>
    <n v="6"/>
    <x v="380"/>
    <s v=""/>
    <x v="1"/>
    <x v="1"/>
    <s v="M"/>
    <x v="1"/>
    <n v="8.25"/>
    <x v="168"/>
    <x v="1"/>
    <x v="0"/>
    <x v="1"/>
  </r>
  <r>
    <s v="WKL-27981-758"/>
    <x v="177"/>
    <x v="381"/>
    <s v="A-M-2.5"/>
    <n v="2"/>
    <x v="381"/>
    <s v="fmiellbc@spiegel.de"/>
    <x v="0"/>
    <x v="2"/>
    <s v="M"/>
    <x v="2"/>
    <n v="25.874999999999996"/>
    <x v="95"/>
    <x v="2"/>
    <x v="0"/>
    <x v="0"/>
  </r>
  <r>
    <s v="VRT-39834-265"/>
    <x v="341"/>
    <x v="382"/>
    <s v="L-L-1"/>
    <n v="3"/>
    <x v="382"/>
    <s v=""/>
    <x v="1"/>
    <x v="3"/>
    <s v="L"/>
    <x v="0"/>
    <n v="15.85"/>
    <x v="46"/>
    <x v="3"/>
    <x v="1"/>
    <x v="0"/>
  </r>
  <r>
    <s v="QTC-71005-730"/>
    <x v="342"/>
    <x v="383"/>
    <s v="A-L-0.2"/>
    <n v="4"/>
    <x v="383"/>
    <s v=""/>
    <x v="0"/>
    <x v="2"/>
    <s v="L"/>
    <x v="3"/>
    <n v="3.8849999999999998"/>
    <x v="42"/>
    <x v="2"/>
    <x v="1"/>
    <x v="1"/>
  </r>
  <r>
    <s v="TNX-09857-717"/>
    <x v="343"/>
    <x v="384"/>
    <s v="L-M-1"/>
    <n v="6"/>
    <x v="384"/>
    <s v=""/>
    <x v="0"/>
    <x v="3"/>
    <s v="M"/>
    <x v="0"/>
    <n v="14.55"/>
    <x v="75"/>
    <x v="3"/>
    <x v="0"/>
    <x v="0"/>
  </r>
  <r>
    <s v="JZV-43874-185"/>
    <x v="344"/>
    <x v="385"/>
    <s v="A-M-1"/>
    <n v="5"/>
    <x v="385"/>
    <s v=""/>
    <x v="0"/>
    <x v="2"/>
    <s v="M"/>
    <x v="0"/>
    <n v="11.25"/>
    <x v="126"/>
    <x v="2"/>
    <x v="0"/>
    <x v="0"/>
  </r>
  <r>
    <s v="ICF-17486-106"/>
    <x v="47"/>
    <x v="386"/>
    <s v="L-L-2.5"/>
    <n v="1"/>
    <x v="386"/>
    <s v="wspringallbh@jugem.jp"/>
    <x v="0"/>
    <x v="3"/>
    <s v="L"/>
    <x v="2"/>
    <n v="36.454999999999998"/>
    <x v="133"/>
    <x v="3"/>
    <x v="1"/>
    <x v="0"/>
  </r>
  <r>
    <s v="BMK-49520-383"/>
    <x v="345"/>
    <x v="387"/>
    <s v="R-L-0.2"/>
    <n v="3"/>
    <x v="387"/>
    <s v=""/>
    <x v="0"/>
    <x v="0"/>
    <s v="L"/>
    <x v="3"/>
    <n v="3.5849999999999995"/>
    <x v="127"/>
    <x v="0"/>
    <x v="1"/>
    <x v="0"/>
  </r>
  <r>
    <s v="HTS-15020-632"/>
    <x v="169"/>
    <x v="388"/>
    <s v="R-M-0.2"/>
    <n v="3"/>
    <x v="388"/>
    <s v="ghawkyensbj@census.gov"/>
    <x v="0"/>
    <x v="0"/>
    <s v="M"/>
    <x v="3"/>
    <n v="2.9849999999999999"/>
    <x v="169"/>
    <x v="0"/>
    <x v="0"/>
    <x v="1"/>
  </r>
  <r>
    <s v="YLE-18247-749"/>
    <x v="346"/>
    <x v="389"/>
    <s v="A-L-0.5"/>
    <n v="3"/>
    <x v="389"/>
    <s v=""/>
    <x v="0"/>
    <x v="2"/>
    <s v="L"/>
    <x v="1"/>
    <n v="7.77"/>
    <x v="102"/>
    <x v="2"/>
    <x v="1"/>
    <x v="0"/>
  </r>
  <r>
    <s v="KJJ-12573-591"/>
    <x v="347"/>
    <x v="390"/>
    <s v="A-L-2.5"/>
    <n v="1"/>
    <x v="390"/>
    <s v=""/>
    <x v="0"/>
    <x v="2"/>
    <s v="L"/>
    <x v="2"/>
    <n v="29.784999999999997"/>
    <x v="91"/>
    <x v="2"/>
    <x v="1"/>
    <x v="0"/>
  </r>
  <r>
    <s v="RGU-43561-950"/>
    <x v="348"/>
    <x v="391"/>
    <s v="A-L-2.5"/>
    <n v="5"/>
    <x v="391"/>
    <s v="bmcgilvrabm@so-net.ne.jp"/>
    <x v="0"/>
    <x v="2"/>
    <s v="L"/>
    <x v="2"/>
    <n v="29.784999999999997"/>
    <x v="74"/>
    <x v="2"/>
    <x v="1"/>
    <x v="0"/>
  </r>
  <r>
    <s v="JSN-73975-443"/>
    <x v="349"/>
    <x v="392"/>
    <s v="L-M-0.5"/>
    <n v="1"/>
    <x v="392"/>
    <s v="adanzeybn@github.com"/>
    <x v="0"/>
    <x v="3"/>
    <s v="M"/>
    <x v="1"/>
    <n v="8.73"/>
    <x v="31"/>
    <x v="3"/>
    <x v="0"/>
    <x v="0"/>
  </r>
  <r>
    <s v="WNR-71736-993"/>
    <x v="350"/>
    <x v="347"/>
    <s v="L-D-0.5"/>
    <n v="4"/>
    <x v="347"/>
    <s v="tfarraac@behance.net"/>
    <x v="0"/>
    <x v="3"/>
    <s v="D"/>
    <x v="1"/>
    <n v="7.77"/>
    <x v="113"/>
    <x v="3"/>
    <x v="2"/>
    <x v="1"/>
  </r>
  <r>
    <s v="WNR-71736-993"/>
    <x v="350"/>
    <x v="347"/>
    <s v="A-D-2.5"/>
    <n v="6"/>
    <x v="347"/>
    <s v="tfarraac@behance.net"/>
    <x v="0"/>
    <x v="2"/>
    <s v="D"/>
    <x v="2"/>
    <n v="22.884999999999998"/>
    <x v="170"/>
    <x v="2"/>
    <x v="2"/>
    <x v="1"/>
  </r>
  <r>
    <s v="HNI-91338-546"/>
    <x v="54"/>
    <x v="393"/>
    <s v="A-D-0.5"/>
    <n v="5"/>
    <x v="393"/>
    <s v=""/>
    <x v="0"/>
    <x v="2"/>
    <s v="D"/>
    <x v="1"/>
    <n v="5.97"/>
    <x v="44"/>
    <x v="2"/>
    <x v="2"/>
    <x v="1"/>
  </r>
  <r>
    <s v="CYH-53243-218"/>
    <x v="237"/>
    <x v="394"/>
    <s v="R-M-0.5"/>
    <n v="3"/>
    <x v="394"/>
    <s v=""/>
    <x v="0"/>
    <x v="0"/>
    <s v="M"/>
    <x v="1"/>
    <n v="5.97"/>
    <x v="8"/>
    <x v="0"/>
    <x v="0"/>
    <x v="1"/>
  </r>
  <r>
    <s v="SVD-75407-177"/>
    <x v="351"/>
    <x v="395"/>
    <s v="E-L-0.5"/>
    <n v="3"/>
    <x v="395"/>
    <s v="ydombrellbs@dedecms.com"/>
    <x v="0"/>
    <x v="1"/>
    <s v="L"/>
    <x v="1"/>
    <n v="8.91"/>
    <x v="149"/>
    <x v="1"/>
    <x v="1"/>
    <x v="0"/>
  </r>
  <r>
    <s v="NVN-66443-451"/>
    <x v="352"/>
    <x v="396"/>
    <s v="R-D-1"/>
    <n v="2"/>
    <x v="396"/>
    <s v="adarthbt@t.co"/>
    <x v="0"/>
    <x v="0"/>
    <s v="D"/>
    <x v="0"/>
    <n v="8.9499999999999993"/>
    <x v="105"/>
    <x v="0"/>
    <x v="2"/>
    <x v="1"/>
  </r>
  <r>
    <s v="JUA-13580-095"/>
    <x v="102"/>
    <x v="397"/>
    <s v="R-L-0.2"/>
    <n v="4"/>
    <x v="397"/>
    <s v="mdarrigoebu@hud.gov"/>
    <x v="1"/>
    <x v="0"/>
    <s v="L"/>
    <x v="3"/>
    <n v="3.5849999999999995"/>
    <x v="79"/>
    <x v="0"/>
    <x v="1"/>
    <x v="0"/>
  </r>
  <r>
    <s v="ACY-56225-839"/>
    <x v="353"/>
    <x v="398"/>
    <s v="A-M-2.5"/>
    <n v="3"/>
    <x v="398"/>
    <s v=""/>
    <x v="0"/>
    <x v="2"/>
    <s v="M"/>
    <x v="2"/>
    <n v="25.874999999999996"/>
    <x v="57"/>
    <x v="2"/>
    <x v="0"/>
    <x v="0"/>
  </r>
  <r>
    <s v="QBB-07903-622"/>
    <x v="354"/>
    <x v="399"/>
    <s v="R-L-1"/>
    <n v="5"/>
    <x v="399"/>
    <s v="mackrillbw@bandcamp.com"/>
    <x v="0"/>
    <x v="0"/>
    <s v="L"/>
    <x v="0"/>
    <n v="11.95"/>
    <x v="143"/>
    <x v="0"/>
    <x v="1"/>
    <x v="1"/>
  </r>
  <r>
    <s v="JLJ-81802-619"/>
    <x v="135"/>
    <x v="347"/>
    <s v="A-L-1"/>
    <n v="6"/>
    <x v="347"/>
    <s v="tfarraac@behance.net"/>
    <x v="0"/>
    <x v="2"/>
    <s v="L"/>
    <x v="0"/>
    <n v="12.95"/>
    <x v="17"/>
    <x v="2"/>
    <x v="1"/>
    <x v="1"/>
  </r>
  <r>
    <s v="HFT-77191-168"/>
    <x v="343"/>
    <x v="400"/>
    <s v="R-D-0.2"/>
    <n v="2"/>
    <x v="400"/>
    <s v="mkippenby@dion.ne.jp"/>
    <x v="0"/>
    <x v="0"/>
    <s v="D"/>
    <x v="3"/>
    <n v="2.6849999999999996"/>
    <x v="147"/>
    <x v="0"/>
    <x v="2"/>
    <x v="0"/>
  </r>
  <r>
    <s v="SZR-35951-530"/>
    <x v="89"/>
    <x v="401"/>
    <s v="E-D-2.5"/>
    <n v="3"/>
    <x v="401"/>
    <s v="wransonbz@ted.com"/>
    <x v="1"/>
    <x v="1"/>
    <s v="D"/>
    <x v="2"/>
    <n v="27.945"/>
    <x v="171"/>
    <x v="1"/>
    <x v="2"/>
    <x v="0"/>
  </r>
  <r>
    <s v="IKL-95976-565"/>
    <x v="355"/>
    <x v="402"/>
    <s v="A-M-1"/>
    <n v="2"/>
    <x v="402"/>
    <s v=""/>
    <x v="0"/>
    <x v="2"/>
    <s v="M"/>
    <x v="0"/>
    <n v="11.25"/>
    <x v="122"/>
    <x v="2"/>
    <x v="0"/>
    <x v="1"/>
  </r>
  <r>
    <s v="XEY-48929-474"/>
    <x v="204"/>
    <x v="403"/>
    <s v="L-M-2.5"/>
    <n v="6"/>
    <x v="403"/>
    <s v="lrignoldc1@miibeian.gov.cn"/>
    <x v="0"/>
    <x v="3"/>
    <s v="M"/>
    <x v="2"/>
    <n v="33.464999999999996"/>
    <x v="172"/>
    <x v="3"/>
    <x v="0"/>
    <x v="0"/>
  </r>
  <r>
    <s v="SQT-07286-736"/>
    <x v="356"/>
    <x v="404"/>
    <s v="A-M-1"/>
    <n v="6"/>
    <x v="404"/>
    <s v=""/>
    <x v="0"/>
    <x v="2"/>
    <s v="M"/>
    <x v="0"/>
    <n v="11.25"/>
    <x v="173"/>
    <x v="2"/>
    <x v="0"/>
    <x v="1"/>
  </r>
  <r>
    <s v="QDU-45390-361"/>
    <x v="357"/>
    <x v="405"/>
    <s v="E-M-0.5"/>
    <n v="1"/>
    <x v="405"/>
    <s v="crowthornc3@msn.com"/>
    <x v="0"/>
    <x v="1"/>
    <s v="M"/>
    <x v="1"/>
    <n v="8.25"/>
    <x v="112"/>
    <x v="1"/>
    <x v="0"/>
    <x v="1"/>
  </r>
  <r>
    <s v="RUJ-30649-712"/>
    <x v="300"/>
    <x v="406"/>
    <s v="L-L-0.2"/>
    <n v="2"/>
    <x v="406"/>
    <s v="orylandc4@deviantart.com"/>
    <x v="0"/>
    <x v="3"/>
    <s v="L"/>
    <x v="3"/>
    <n v="4.7549999999999999"/>
    <x v="54"/>
    <x v="3"/>
    <x v="1"/>
    <x v="0"/>
  </r>
  <r>
    <s v="WSV-49732-075"/>
    <x v="358"/>
    <x v="407"/>
    <s v="L-D-2.5"/>
    <n v="1"/>
    <x v="407"/>
    <s v=""/>
    <x v="0"/>
    <x v="3"/>
    <s v="D"/>
    <x v="2"/>
    <n v="29.784999999999997"/>
    <x v="91"/>
    <x v="3"/>
    <x v="2"/>
    <x v="1"/>
  </r>
  <r>
    <s v="VJF-46305-323"/>
    <x v="161"/>
    <x v="408"/>
    <s v="L-D-0.5"/>
    <n v="2"/>
    <x v="408"/>
    <s v="msesonck@census.gov"/>
    <x v="0"/>
    <x v="3"/>
    <s v="D"/>
    <x v="1"/>
    <n v="7.77"/>
    <x v="42"/>
    <x v="3"/>
    <x v="2"/>
    <x v="1"/>
  </r>
  <r>
    <s v="CXD-74176-600"/>
    <x v="129"/>
    <x v="409"/>
    <s v="E-L-0.5"/>
    <n v="4"/>
    <x v="409"/>
    <s v="craglessc7@webmd.com"/>
    <x v="1"/>
    <x v="1"/>
    <s v="L"/>
    <x v="1"/>
    <n v="8.91"/>
    <x v="70"/>
    <x v="1"/>
    <x v="1"/>
    <x v="1"/>
  </r>
  <r>
    <s v="ADX-50674-975"/>
    <x v="359"/>
    <x v="410"/>
    <s v="A-M-2.5"/>
    <n v="4"/>
    <x v="410"/>
    <s v="fhollowsc8@blogtalkradio.com"/>
    <x v="0"/>
    <x v="2"/>
    <s v="M"/>
    <x v="2"/>
    <n v="25.874999999999996"/>
    <x v="68"/>
    <x v="2"/>
    <x v="0"/>
    <x v="0"/>
  </r>
  <r>
    <s v="RRP-51647-420"/>
    <x v="360"/>
    <x v="411"/>
    <s v="E-D-1"/>
    <n v="3"/>
    <x v="411"/>
    <s v="llathleiffc9@nationalgeographic.com"/>
    <x v="1"/>
    <x v="1"/>
    <s v="D"/>
    <x v="0"/>
    <n v="12.15"/>
    <x v="114"/>
    <x v="1"/>
    <x v="2"/>
    <x v="0"/>
  </r>
  <r>
    <s v="PKJ-99134-523"/>
    <x v="361"/>
    <x v="412"/>
    <s v="R-L-0.5"/>
    <n v="5"/>
    <x v="412"/>
    <s v="kheadsca@jalbum.net"/>
    <x v="0"/>
    <x v="0"/>
    <s v="L"/>
    <x v="1"/>
    <n v="7.169999999999999"/>
    <x v="66"/>
    <x v="0"/>
    <x v="1"/>
    <x v="1"/>
  </r>
  <r>
    <s v="FZQ-29439-457"/>
    <x v="362"/>
    <x v="413"/>
    <s v="E-L-0.2"/>
    <n v="5"/>
    <x v="413"/>
    <s v="tbownecb@unicef.org"/>
    <x v="1"/>
    <x v="1"/>
    <s v="L"/>
    <x v="3"/>
    <n v="4.4550000000000001"/>
    <x v="110"/>
    <x v="1"/>
    <x v="1"/>
    <x v="0"/>
  </r>
  <r>
    <s v="USN-68115-161"/>
    <x v="363"/>
    <x v="414"/>
    <s v="E-M-0.2"/>
    <n v="6"/>
    <x v="414"/>
    <s v="rjacquemardcc@acquirethisname.com"/>
    <x v="1"/>
    <x v="1"/>
    <s v="M"/>
    <x v="3"/>
    <n v="4.125"/>
    <x v="167"/>
    <x v="1"/>
    <x v="0"/>
    <x v="1"/>
  </r>
  <r>
    <s v="IXU-20263-532"/>
    <x v="364"/>
    <x v="415"/>
    <s v="L-M-2.5"/>
    <n v="2"/>
    <x v="415"/>
    <s v="kwarmancd@printfriendly.com"/>
    <x v="1"/>
    <x v="3"/>
    <s v="M"/>
    <x v="2"/>
    <n v="33.464999999999996"/>
    <x v="174"/>
    <x v="3"/>
    <x v="0"/>
    <x v="0"/>
  </r>
  <r>
    <s v="CBT-15092-420"/>
    <x v="85"/>
    <x v="416"/>
    <s v="L-M-0.5"/>
    <n v="1"/>
    <x v="416"/>
    <s v="wcholomince@about.com"/>
    <x v="2"/>
    <x v="3"/>
    <s v="M"/>
    <x v="1"/>
    <n v="8.73"/>
    <x v="31"/>
    <x v="3"/>
    <x v="0"/>
    <x v="0"/>
  </r>
  <r>
    <s v="PKQ-46841-696"/>
    <x v="365"/>
    <x v="417"/>
    <s v="R-M-0.5"/>
    <n v="3"/>
    <x v="417"/>
    <s v="abraidmancf@census.gov"/>
    <x v="0"/>
    <x v="0"/>
    <s v="M"/>
    <x v="1"/>
    <n v="5.97"/>
    <x v="8"/>
    <x v="0"/>
    <x v="0"/>
    <x v="1"/>
  </r>
  <r>
    <s v="XDU-05471-219"/>
    <x v="366"/>
    <x v="418"/>
    <s v="R-L-0.5"/>
    <n v="1"/>
    <x v="418"/>
    <s v="pdurbancg@symantec.com"/>
    <x v="1"/>
    <x v="0"/>
    <s v="L"/>
    <x v="1"/>
    <n v="7.169999999999999"/>
    <x v="53"/>
    <x v="0"/>
    <x v="1"/>
    <x v="1"/>
  </r>
  <r>
    <s v="NID-20149-329"/>
    <x v="367"/>
    <x v="419"/>
    <s v="R-D-0.2"/>
    <n v="2"/>
    <x v="419"/>
    <s v="aharroldch@miibeian.gov.cn"/>
    <x v="0"/>
    <x v="0"/>
    <s v="D"/>
    <x v="3"/>
    <n v="2.6849999999999996"/>
    <x v="147"/>
    <x v="0"/>
    <x v="2"/>
    <x v="1"/>
  </r>
  <r>
    <s v="SVU-27222-213"/>
    <x v="142"/>
    <x v="420"/>
    <s v="L-L-0.2"/>
    <n v="5"/>
    <x v="420"/>
    <s v="spamphilonci@mlb.com"/>
    <x v="1"/>
    <x v="3"/>
    <s v="L"/>
    <x v="3"/>
    <n v="4.7549999999999999"/>
    <x v="29"/>
    <x v="3"/>
    <x v="1"/>
    <x v="1"/>
  </r>
  <r>
    <s v="RWI-84131-848"/>
    <x v="368"/>
    <x v="421"/>
    <s v="R-D-2.5"/>
    <n v="2"/>
    <x v="421"/>
    <s v="mspurdencj@exblog.jp"/>
    <x v="0"/>
    <x v="0"/>
    <s v="D"/>
    <x v="2"/>
    <n v="20.584999999999997"/>
    <x v="13"/>
    <x v="0"/>
    <x v="2"/>
    <x v="0"/>
  </r>
  <r>
    <s v="GUU-40666-525"/>
    <x v="31"/>
    <x v="408"/>
    <s v="A-L-0.2"/>
    <n v="3"/>
    <x v="408"/>
    <s v="msesonck@census.gov"/>
    <x v="0"/>
    <x v="2"/>
    <s v="L"/>
    <x v="3"/>
    <n v="3.8849999999999998"/>
    <x v="14"/>
    <x v="2"/>
    <x v="1"/>
    <x v="1"/>
  </r>
  <r>
    <s v="SCN-51395-066"/>
    <x v="369"/>
    <x v="422"/>
    <s v="L-L-0.5"/>
    <n v="4"/>
    <x v="422"/>
    <s v="npirronecl@weibo.com"/>
    <x v="0"/>
    <x v="3"/>
    <s v="L"/>
    <x v="1"/>
    <n v="9.51"/>
    <x v="82"/>
    <x v="3"/>
    <x v="1"/>
    <x v="1"/>
  </r>
  <r>
    <s v="ULA-24644-321"/>
    <x v="370"/>
    <x v="423"/>
    <s v="R-D-2.5"/>
    <n v="4"/>
    <x v="423"/>
    <s v="rcawleycm@yellowbook.com"/>
    <x v="1"/>
    <x v="0"/>
    <s v="D"/>
    <x v="2"/>
    <n v="20.584999999999997"/>
    <x v="18"/>
    <x v="0"/>
    <x v="2"/>
    <x v="0"/>
  </r>
  <r>
    <s v="EOL-92666-762"/>
    <x v="371"/>
    <x v="424"/>
    <s v="L-L-0.2"/>
    <n v="2"/>
    <x v="424"/>
    <s v="sbarribalcn@microsoft.com"/>
    <x v="1"/>
    <x v="3"/>
    <s v="L"/>
    <x v="3"/>
    <n v="4.7549999999999999"/>
    <x v="54"/>
    <x v="3"/>
    <x v="1"/>
    <x v="0"/>
  </r>
  <r>
    <s v="AJV-18231-334"/>
    <x v="372"/>
    <x v="425"/>
    <s v="R-D-2.5"/>
    <n v="2"/>
    <x v="425"/>
    <s v="aadamidesco@bizjournals.com"/>
    <x v="2"/>
    <x v="0"/>
    <s v="D"/>
    <x v="2"/>
    <n v="20.584999999999997"/>
    <x v="13"/>
    <x v="0"/>
    <x v="2"/>
    <x v="1"/>
  </r>
  <r>
    <s v="ZQI-47236-301"/>
    <x v="373"/>
    <x v="426"/>
    <s v="L-L-0.5"/>
    <n v="5"/>
    <x v="426"/>
    <s v="cthowescp@craigslist.org"/>
    <x v="0"/>
    <x v="3"/>
    <s v="L"/>
    <x v="1"/>
    <n v="9.51"/>
    <x v="46"/>
    <x v="3"/>
    <x v="1"/>
    <x v="1"/>
  </r>
  <r>
    <s v="ZCR-15721-658"/>
    <x v="374"/>
    <x v="427"/>
    <s v="A-M-1"/>
    <n v="4"/>
    <x v="427"/>
    <s v="rwillowaycq@admin.ch"/>
    <x v="0"/>
    <x v="2"/>
    <s v="M"/>
    <x v="0"/>
    <n v="11.25"/>
    <x v="157"/>
    <x v="2"/>
    <x v="0"/>
    <x v="1"/>
  </r>
  <r>
    <s v="QEW-47945-682"/>
    <x v="319"/>
    <x v="428"/>
    <s v="L-L-0.2"/>
    <n v="5"/>
    <x v="428"/>
    <s v="aelwincr@privacy.gov.au"/>
    <x v="0"/>
    <x v="3"/>
    <s v="L"/>
    <x v="3"/>
    <n v="4.7549999999999999"/>
    <x v="29"/>
    <x v="3"/>
    <x v="1"/>
    <x v="1"/>
  </r>
  <r>
    <s v="PSY-45485-542"/>
    <x v="375"/>
    <x v="429"/>
    <s v="R-D-0.5"/>
    <n v="3"/>
    <x v="429"/>
    <s v="abilbrookcs@booking.com"/>
    <x v="1"/>
    <x v="0"/>
    <s v="D"/>
    <x v="1"/>
    <n v="5.3699999999999992"/>
    <x v="103"/>
    <x v="0"/>
    <x v="2"/>
    <x v="0"/>
  </r>
  <r>
    <s v="BAQ-74241-156"/>
    <x v="376"/>
    <x v="430"/>
    <s v="R-D-0.2"/>
    <n v="4"/>
    <x v="430"/>
    <s v="rmckallct@sakura.ne.jp"/>
    <x v="2"/>
    <x v="0"/>
    <s v="D"/>
    <x v="3"/>
    <n v="2.6849999999999996"/>
    <x v="175"/>
    <x v="0"/>
    <x v="2"/>
    <x v="0"/>
  </r>
  <r>
    <s v="BVU-77367-451"/>
    <x v="377"/>
    <x v="431"/>
    <s v="A-D-1"/>
    <n v="5"/>
    <x v="431"/>
    <s v="bdailecu@vistaprint.com"/>
    <x v="0"/>
    <x v="2"/>
    <s v="D"/>
    <x v="0"/>
    <n v="9.9499999999999993"/>
    <x v="12"/>
    <x v="2"/>
    <x v="2"/>
    <x v="0"/>
  </r>
  <r>
    <s v="TJE-91516-344"/>
    <x v="378"/>
    <x v="432"/>
    <s v="E-M-1"/>
    <n v="2"/>
    <x v="432"/>
    <s v="atrehernecv@state.tx.us"/>
    <x v="1"/>
    <x v="1"/>
    <s v="M"/>
    <x v="0"/>
    <n v="13.75"/>
    <x v="3"/>
    <x v="1"/>
    <x v="0"/>
    <x v="1"/>
  </r>
  <r>
    <s v="LIS-96202-702"/>
    <x v="277"/>
    <x v="433"/>
    <s v="L-D-2.5"/>
    <n v="4"/>
    <x v="433"/>
    <s v="abrentnallcw@biglobe.ne.jp"/>
    <x v="2"/>
    <x v="3"/>
    <s v="D"/>
    <x v="2"/>
    <n v="29.784999999999997"/>
    <x v="129"/>
    <x v="3"/>
    <x v="2"/>
    <x v="1"/>
  </r>
  <r>
    <s v="VIO-27668-766"/>
    <x v="379"/>
    <x v="434"/>
    <s v="R-D-2.5"/>
    <n v="1"/>
    <x v="434"/>
    <s v="ddrinkallcx@psu.edu"/>
    <x v="0"/>
    <x v="0"/>
    <s v="D"/>
    <x v="2"/>
    <n v="20.584999999999997"/>
    <x v="123"/>
    <x v="0"/>
    <x v="2"/>
    <x v="0"/>
  </r>
  <r>
    <s v="ZVG-20473-043"/>
    <x v="86"/>
    <x v="435"/>
    <s v="A-D-0.2"/>
    <n v="3"/>
    <x v="435"/>
    <s v="dkornelcy@cyberchimps.com"/>
    <x v="0"/>
    <x v="2"/>
    <s v="D"/>
    <x v="3"/>
    <n v="2.9849999999999999"/>
    <x v="169"/>
    <x v="2"/>
    <x v="2"/>
    <x v="0"/>
  </r>
  <r>
    <s v="KGZ-56395-231"/>
    <x v="380"/>
    <x v="436"/>
    <s v="A-D-0.5"/>
    <n v="1"/>
    <x v="436"/>
    <s v="rlequeuxcz@newyorker.com"/>
    <x v="0"/>
    <x v="2"/>
    <s v="D"/>
    <x v="1"/>
    <n v="5.97"/>
    <x v="9"/>
    <x v="2"/>
    <x v="2"/>
    <x v="1"/>
  </r>
  <r>
    <s v="CUU-92244-729"/>
    <x v="381"/>
    <x v="437"/>
    <s v="E-M-1"/>
    <n v="3"/>
    <x v="437"/>
    <s v="jmccaulld0@parallels.com"/>
    <x v="0"/>
    <x v="1"/>
    <s v="M"/>
    <x v="0"/>
    <n v="13.75"/>
    <x v="1"/>
    <x v="1"/>
    <x v="0"/>
    <x v="0"/>
  </r>
  <r>
    <s v="EHE-94714-312"/>
    <x v="382"/>
    <x v="438"/>
    <s v="E-L-0.2"/>
    <n v="5"/>
    <x v="438"/>
    <s v="abrashda@plala.or.jp"/>
    <x v="0"/>
    <x v="1"/>
    <s v="L"/>
    <x v="3"/>
    <n v="4.4550000000000001"/>
    <x v="110"/>
    <x v="1"/>
    <x v="1"/>
    <x v="0"/>
  </r>
  <r>
    <s v="RTL-16205-161"/>
    <x v="11"/>
    <x v="439"/>
    <s v="A-M-0.5"/>
    <n v="1"/>
    <x v="439"/>
    <s v="ahutchinsond2@imgur.com"/>
    <x v="0"/>
    <x v="2"/>
    <s v="M"/>
    <x v="1"/>
    <n v="6.75"/>
    <x v="52"/>
    <x v="2"/>
    <x v="0"/>
    <x v="0"/>
  </r>
  <r>
    <s v="GTS-22482-014"/>
    <x v="167"/>
    <x v="440"/>
    <s v="L-M-2.5"/>
    <n v="4"/>
    <x v="440"/>
    <s v=""/>
    <x v="0"/>
    <x v="3"/>
    <s v="M"/>
    <x v="2"/>
    <n v="33.464999999999996"/>
    <x v="136"/>
    <x v="3"/>
    <x v="0"/>
    <x v="0"/>
  </r>
  <r>
    <s v="DYG-25473-881"/>
    <x v="383"/>
    <x v="441"/>
    <s v="A-D-0.2"/>
    <n v="2"/>
    <x v="441"/>
    <s v="rdriversd4@hexun.com"/>
    <x v="0"/>
    <x v="2"/>
    <s v="D"/>
    <x v="3"/>
    <n v="2.9849999999999999"/>
    <x v="9"/>
    <x v="2"/>
    <x v="2"/>
    <x v="1"/>
  </r>
  <r>
    <s v="HTR-21838-286"/>
    <x v="18"/>
    <x v="442"/>
    <s v="A-L-1"/>
    <n v="2"/>
    <x v="442"/>
    <s v="hzeald5@google.de"/>
    <x v="0"/>
    <x v="2"/>
    <s v="L"/>
    <x v="0"/>
    <n v="12.95"/>
    <x v="109"/>
    <x v="2"/>
    <x v="1"/>
    <x v="1"/>
  </r>
  <r>
    <s v="KYG-28296-920"/>
    <x v="84"/>
    <x v="443"/>
    <s v="E-M-2.5"/>
    <n v="1"/>
    <x v="443"/>
    <s v="gsmallcombed6@ucla.edu"/>
    <x v="1"/>
    <x v="1"/>
    <s v="M"/>
    <x v="2"/>
    <n v="31.624999999999996"/>
    <x v="176"/>
    <x v="1"/>
    <x v="0"/>
    <x v="0"/>
  </r>
  <r>
    <s v="NNB-20459-430"/>
    <x v="384"/>
    <x v="444"/>
    <s v="L-M-0.2"/>
    <n v="2"/>
    <x v="444"/>
    <s v="ddibleyd7@feedburner.com"/>
    <x v="0"/>
    <x v="3"/>
    <s v="M"/>
    <x v="3"/>
    <n v="4.3650000000000002"/>
    <x v="31"/>
    <x v="3"/>
    <x v="0"/>
    <x v="1"/>
  </r>
  <r>
    <s v="FEK-14025-351"/>
    <x v="385"/>
    <x v="445"/>
    <s v="E-L-0.2"/>
    <n v="6"/>
    <x v="445"/>
    <s v="gdimitrioud8@chronoengine.com"/>
    <x v="0"/>
    <x v="1"/>
    <s v="L"/>
    <x v="3"/>
    <n v="4.4550000000000001"/>
    <x v="149"/>
    <x v="1"/>
    <x v="1"/>
    <x v="0"/>
  </r>
  <r>
    <s v="AWH-16980-469"/>
    <x v="386"/>
    <x v="446"/>
    <s v="L-M-0.2"/>
    <n v="6"/>
    <x v="446"/>
    <s v="fflanagand9@woothemes.com"/>
    <x v="0"/>
    <x v="3"/>
    <s v="M"/>
    <x v="3"/>
    <n v="4.3650000000000002"/>
    <x v="50"/>
    <x v="3"/>
    <x v="0"/>
    <x v="1"/>
  </r>
  <r>
    <s v="ZPW-31329-741"/>
    <x v="387"/>
    <x v="438"/>
    <s v="R-D-1"/>
    <n v="6"/>
    <x v="438"/>
    <s v="abrashda@plala.or.jp"/>
    <x v="0"/>
    <x v="0"/>
    <s v="D"/>
    <x v="0"/>
    <n v="8.9499999999999993"/>
    <x v="59"/>
    <x v="0"/>
    <x v="2"/>
    <x v="0"/>
  </r>
  <r>
    <s v="ZPW-31329-741"/>
    <x v="387"/>
    <x v="438"/>
    <s v="E-M-2.5"/>
    <n v="4"/>
    <x v="438"/>
    <s v="abrashda@plala.or.jp"/>
    <x v="0"/>
    <x v="1"/>
    <s v="M"/>
    <x v="2"/>
    <n v="31.624999999999996"/>
    <x v="177"/>
    <x v="1"/>
    <x v="0"/>
    <x v="0"/>
  </r>
  <r>
    <s v="ZPW-31329-741"/>
    <x v="387"/>
    <x v="438"/>
    <s v="E-M-0.2"/>
    <n v="1"/>
    <x v="438"/>
    <s v="abrashda@plala.or.jp"/>
    <x v="0"/>
    <x v="1"/>
    <s v="M"/>
    <x v="3"/>
    <n v="4.125"/>
    <x v="83"/>
    <x v="1"/>
    <x v="0"/>
    <x v="0"/>
  </r>
  <r>
    <s v="UBI-83843-396"/>
    <x v="388"/>
    <x v="447"/>
    <s v="R-L-1"/>
    <n v="2"/>
    <x v="447"/>
    <s v="nizhakovdd@aol.com"/>
    <x v="2"/>
    <x v="0"/>
    <s v="L"/>
    <x v="0"/>
    <n v="11.95"/>
    <x v="178"/>
    <x v="0"/>
    <x v="1"/>
    <x v="1"/>
  </r>
  <r>
    <s v="VID-40587-569"/>
    <x v="389"/>
    <x v="448"/>
    <s v="E-D-2.5"/>
    <n v="5"/>
    <x v="448"/>
    <s v="skeetsde@answers.com"/>
    <x v="0"/>
    <x v="1"/>
    <s v="D"/>
    <x v="2"/>
    <n v="27.945"/>
    <x v="141"/>
    <x v="1"/>
    <x v="2"/>
    <x v="0"/>
  </r>
  <r>
    <s v="KBB-52530-416"/>
    <x v="229"/>
    <x v="449"/>
    <s v="L-D-2.5"/>
    <n v="2"/>
    <x v="449"/>
    <s v=""/>
    <x v="0"/>
    <x v="3"/>
    <s v="D"/>
    <x v="2"/>
    <n v="29.784999999999997"/>
    <x v="120"/>
    <x v="3"/>
    <x v="2"/>
    <x v="0"/>
  </r>
  <r>
    <s v="ISJ-48676-420"/>
    <x v="390"/>
    <x v="450"/>
    <s v="L-L-0.5"/>
    <n v="6"/>
    <x v="450"/>
    <s v="kcakedg@huffingtonpost.com"/>
    <x v="0"/>
    <x v="3"/>
    <s v="L"/>
    <x v="1"/>
    <n v="9.51"/>
    <x v="30"/>
    <x v="3"/>
    <x v="1"/>
    <x v="1"/>
  </r>
  <r>
    <s v="MIF-17920-768"/>
    <x v="391"/>
    <x v="451"/>
    <s v="R-L-0.2"/>
    <n v="6"/>
    <x v="451"/>
    <s v="mhanseddh@instagram.com"/>
    <x v="1"/>
    <x v="0"/>
    <s v="L"/>
    <x v="3"/>
    <n v="3.5849999999999995"/>
    <x v="137"/>
    <x v="0"/>
    <x v="1"/>
    <x v="0"/>
  </r>
  <r>
    <s v="CPX-19312-088"/>
    <x v="117"/>
    <x v="452"/>
    <s v="L-M-0.5"/>
    <n v="6"/>
    <x v="452"/>
    <s v="fkienleindi@trellian.com"/>
    <x v="1"/>
    <x v="3"/>
    <s v="M"/>
    <x v="1"/>
    <n v="8.73"/>
    <x v="28"/>
    <x v="3"/>
    <x v="0"/>
    <x v="0"/>
  </r>
  <r>
    <s v="RXI-67978-260"/>
    <x v="392"/>
    <x v="453"/>
    <s v="E-D-1"/>
    <n v="6"/>
    <x v="453"/>
    <s v="kegglestonedj@sphinn.com"/>
    <x v="1"/>
    <x v="1"/>
    <s v="D"/>
    <x v="0"/>
    <n v="12.15"/>
    <x v="118"/>
    <x v="1"/>
    <x v="2"/>
    <x v="1"/>
  </r>
  <r>
    <s v="LKE-14821-285"/>
    <x v="393"/>
    <x v="454"/>
    <s v="R-M-0.2"/>
    <n v="5"/>
    <x v="454"/>
    <s v="bsemkinsdk@unc.edu"/>
    <x v="1"/>
    <x v="0"/>
    <s v="M"/>
    <x v="3"/>
    <n v="2.9849999999999999"/>
    <x v="128"/>
    <x v="0"/>
    <x v="0"/>
    <x v="0"/>
  </r>
  <r>
    <s v="LRK-97117-150"/>
    <x v="394"/>
    <x v="455"/>
    <s v="L-L-1"/>
    <n v="6"/>
    <x v="455"/>
    <s v="slorenzettidl@is.gd"/>
    <x v="0"/>
    <x v="3"/>
    <s v="L"/>
    <x v="0"/>
    <n v="15.85"/>
    <x v="179"/>
    <x v="3"/>
    <x v="1"/>
    <x v="1"/>
  </r>
  <r>
    <s v="IGK-51227-573"/>
    <x v="137"/>
    <x v="456"/>
    <s v="L-D-0.5"/>
    <n v="2"/>
    <x v="456"/>
    <s v="bgiannazzidm@apple.com"/>
    <x v="0"/>
    <x v="3"/>
    <s v="D"/>
    <x v="1"/>
    <n v="7.77"/>
    <x v="42"/>
    <x v="3"/>
    <x v="2"/>
    <x v="1"/>
  </r>
  <r>
    <s v="ZAY-43009-775"/>
    <x v="395"/>
    <x v="457"/>
    <s v="L-D-0.2"/>
    <n v="6"/>
    <x v="457"/>
    <s v=""/>
    <x v="0"/>
    <x v="3"/>
    <s v="D"/>
    <x v="3"/>
    <n v="3.8849999999999998"/>
    <x v="102"/>
    <x v="3"/>
    <x v="2"/>
    <x v="1"/>
  </r>
  <r>
    <s v="EMA-63190-618"/>
    <x v="396"/>
    <x v="458"/>
    <s v="E-M-0.2"/>
    <n v="1"/>
    <x v="458"/>
    <s v="ulethbrigdo@hc360.com"/>
    <x v="0"/>
    <x v="1"/>
    <s v="M"/>
    <x v="3"/>
    <n v="4.125"/>
    <x v="83"/>
    <x v="1"/>
    <x v="0"/>
    <x v="0"/>
  </r>
  <r>
    <s v="FBI-35855-418"/>
    <x v="189"/>
    <x v="459"/>
    <s v="R-M-0.5"/>
    <n v="6"/>
    <x v="459"/>
    <s v="sfarnishdp@dmoz.org"/>
    <x v="2"/>
    <x v="0"/>
    <s v="M"/>
    <x v="1"/>
    <n v="5.97"/>
    <x v="27"/>
    <x v="0"/>
    <x v="0"/>
    <x v="1"/>
  </r>
  <r>
    <s v="TXB-80533-417"/>
    <x v="8"/>
    <x v="460"/>
    <s v="L-L-1"/>
    <n v="2"/>
    <x v="460"/>
    <s v="fjecockdq@unicef.org"/>
    <x v="0"/>
    <x v="3"/>
    <s v="L"/>
    <x v="0"/>
    <n v="15.85"/>
    <x v="124"/>
    <x v="3"/>
    <x v="1"/>
    <x v="1"/>
  </r>
  <r>
    <s v="MBM-00112-248"/>
    <x v="397"/>
    <x v="461"/>
    <s v="L-L-1"/>
    <n v="5"/>
    <x v="461"/>
    <s v=""/>
    <x v="0"/>
    <x v="3"/>
    <s v="L"/>
    <x v="0"/>
    <n v="15.85"/>
    <x v="180"/>
    <x v="3"/>
    <x v="1"/>
    <x v="0"/>
  </r>
  <r>
    <s v="EUO-69145-988"/>
    <x v="398"/>
    <x v="462"/>
    <s v="E-D-0.2"/>
    <n v="3"/>
    <x v="462"/>
    <s v="hpallisterds@ning.com"/>
    <x v="0"/>
    <x v="1"/>
    <s v="D"/>
    <x v="3"/>
    <n v="3.645"/>
    <x v="47"/>
    <x v="1"/>
    <x v="2"/>
    <x v="1"/>
  </r>
  <r>
    <s v="GYA-80327-368"/>
    <x v="399"/>
    <x v="463"/>
    <s v="A-D-1"/>
    <n v="4"/>
    <x v="463"/>
    <s v="cmershdt@drupal.org"/>
    <x v="1"/>
    <x v="2"/>
    <s v="D"/>
    <x v="0"/>
    <n v="9.9499999999999993"/>
    <x v="10"/>
    <x v="2"/>
    <x v="2"/>
    <x v="1"/>
  </r>
  <r>
    <s v="TNW-41601-420"/>
    <x v="400"/>
    <x v="464"/>
    <s v="R-M-1"/>
    <n v="5"/>
    <x v="464"/>
    <s v="murione5@alexa.com"/>
    <x v="1"/>
    <x v="0"/>
    <s v="M"/>
    <x v="0"/>
    <n v="9.9499999999999993"/>
    <x v="12"/>
    <x v="0"/>
    <x v="0"/>
    <x v="0"/>
  </r>
  <r>
    <s v="ALR-62963-723"/>
    <x v="401"/>
    <x v="465"/>
    <s v="R-D-0.2"/>
    <n v="3"/>
    <x v="465"/>
    <s v=""/>
    <x v="1"/>
    <x v="0"/>
    <s v="D"/>
    <x v="3"/>
    <n v="2.6849999999999996"/>
    <x v="36"/>
    <x v="0"/>
    <x v="2"/>
    <x v="0"/>
  </r>
  <r>
    <s v="JIG-27636-870"/>
    <x v="402"/>
    <x v="466"/>
    <s v="R-L-1"/>
    <n v="4"/>
    <x v="466"/>
    <s v=""/>
    <x v="0"/>
    <x v="0"/>
    <s v="L"/>
    <x v="0"/>
    <n v="11.95"/>
    <x v="62"/>
    <x v="0"/>
    <x v="1"/>
    <x v="1"/>
  </r>
  <r>
    <s v="CTE-31437-326"/>
    <x v="6"/>
    <x v="467"/>
    <s v="R-M-0.2"/>
    <n v="4"/>
    <x v="467"/>
    <s v="gduckerdx@patch.com"/>
    <x v="2"/>
    <x v="0"/>
    <s v="M"/>
    <x v="3"/>
    <n v="2.9849999999999999"/>
    <x v="22"/>
    <x v="0"/>
    <x v="0"/>
    <x v="1"/>
  </r>
  <r>
    <s v="CTE-31437-326"/>
    <x v="6"/>
    <x v="467"/>
    <s v="E-M-0.2"/>
    <n v="4"/>
    <x v="467"/>
    <s v="gduckerdx@patch.com"/>
    <x v="2"/>
    <x v="1"/>
    <s v="M"/>
    <x v="3"/>
    <n v="4.125"/>
    <x v="38"/>
    <x v="1"/>
    <x v="0"/>
    <x v="1"/>
  </r>
  <r>
    <s v="CTE-31437-326"/>
    <x v="6"/>
    <x v="467"/>
    <s v="L-D-1"/>
    <n v="4"/>
    <x v="467"/>
    <s v="gduckerdx@patch.com"/>
    <x v="2"/>
    <x v="3"/>
    <s v="D"/>
    <x v="0"/>
    <n v="12.95"/>
    <x v="67"/>
    <x v="3"/>
    <x v="2"/>
    <x v="1"/>
  </r>
  <r>
    <s v="CTE-31437-326"/>
    <x v="6"/>
    <x v="467"/>
    <s v="L-L-0.2"/>
    <n v="3"/>
    <x v="467"/>
    <s v="gduckerdx@patch.com"/>
    <x v="2"/>
    <x v="3"/>
    <s v="L"/>
    <x v="3"/>
    <n v="4.7549999999999999"/>
    <x v="181"/>
    <x v="3"/>
    <x v="1"/>
    <x v="1"/>
  </r>
  <r>
    <s v="SLD-63003-334"/>
    <x v="403"/>
    <x v="468"/>
    <s v="L-M-0.2"/>
    <n v="6"/>
    <x v="468"/>
    <s v="wstearleye1@census.gov"/>
    <x v="0"/>
    <x v="3"/>
    <s v="M"/>
    <x v="3"/>
    <n v="4.3650000000000002"/>
    <x v="50"/>
    <x v="3"/>
    <x v="0"/>
    <x v="1"/>
  </r>
  <r>
    <s v="BXN-64230-789"/>
    <x v="404"/>
    <x v="469"/>
    <s v="A-L-1"/>
    <n v="2"/>
    <x v="469"/>
    <s v="dwincere2@marriott.com"/>
    <x v="0"/>
    <x v="2"/>
    <s v="L"/>
    <x v="0"/>
    <n v="12.95"/>
    <x v="109"/>
    <x v="2"/>
    <x v="1"/>
    <x v="0"/>
  </r>
  <r>
    <s v="XEE-37895-169"/>
    <x v="21"/>
    <x v="470"/>
    <s v="A-L-2.5"/>
    <n v="3"/>
    <x v="470"/>
    <s v="plyfielde3@baidu.com"/>
    <x v="0"/>
    <x v="2"/>
    <s v="L"/>
    <x v="2"/>
    <n v="29.784999999999997"/>
    <x v="49"/>
    <x v="2"/>
    <x v="1"/>
    <x v="0"/>
  </r>
  <r>
    <s v="ZTX-80764-911"/>
    <x v="239"/>
    <x v="471"/>
    <s v="L-D-0.5"/>
    <n v="6"/>
    <x v="471"/>
    <s v="hperrise4@studiopress.com"/>
    <x v="1"/>
    <x v="3"/>
    <s v="D"/>
    <x v="1"/>
    <n v="7.77"/>
    <x v="162"/>
    <x v="3"/>
    <x v="2"/>
    <x v="1"/>
  </r>
  <r>
    <s v="WVT-88135-549"/>
    <x v="405"/>
    <x v="464"/>
    <s v="A-D-1"/>
    <n v="3"/>
    <x v="464"/>
    <s v="murione5@alexa.com"/>
    <x v="1"/>
    <x v="2"/>
    <s v="D"/>
    <x v="0"/>
    <n v="9.9499999999999993"/>
    <x v="44"/>
    <x v="2"/>
    <x v="2"/>
    <x v="0"/>
  </r>
  <r>
    <s v="IPA-94170-889"/>
    <x v="292"/>
    <x v="472"/>
    <s v="R-L-0.2"/>
    <n v="3"/>
    <x v="472"/>
    <s v="ckide6@narod.ru"/>
    <x v="1"/>
    <x v="0"/>
    <s v="L"/>
    <x v="3"/>
    <n v="3.5849999999999995"/>
    <x v="127"/>
    <x v="0"/>
    <x v="1"/>
    <x v="0"/>
  </r>
  <r>
    <s v="YQL-63755-365"/>
    <x v="117"/>
    <x v="473"/>
    <s v="A-M-0.2"/>
    <n v="4"/>
    <x v="473"/>
    <s v="cbeinee7@xinhuanet.com"/>
    <x v="0"/>
    <x v="2"/>
    <s v="M"/>
    <x v="3"/>
    <n v="3.375"/>
    <x v="72"/>
    <x v="2"/>
    <x v="0"/>
    <x v="0"/>
  </r>
  <r>
    <s v="RKW-81145-984"/>
    <x v="406"/>
    <x v="474"/>
    <s v="L-L-1"/>
    <n v="3"/>
    <x v="474"/>
    <s v="cbakeupe8@globo.com"/>
    <x v="0"/>
    <x v="3"/>
    <s v="L"/>
    <x v="0"/>
    <n v="15.85"/>
    <x v="46"/>
    <x v="3"/>
    <x v="1"/>
    <x v="1"/>
  </r>
  <r>
    <s v="MBT-23379-866"/>
    <x v="407"/>
    <x v="475"/>
    <s v="L-L-1"/>
    <n v="5"/>
    <x v="475"/>
    <s v="nhelkine9@example.com"/>
    <x v="0"/>
    <x v="3"/>
    <s v="L"/>
    <x v="0"/>
    <n v="15.85"/>
    <x v="180"/>
    <x v="3"/>
    <x v="1"/>
    <x v="1"/>
  </r>
  <r>
    <s v="GEJ-39834-935"/>
    <x v="408"/>
    <x v="476"/>
    <s v="L-M-0.2"/>
    <n v="6"/>
    <x v="476"/>
    <s v="pwitheringtonea@networkadvertising.org"/>
    <x v="0"/>
    <x v="3"/>
    <s v="M"/>
    <x v="3"/>
    <n v="4.3650000000000002"/>
    <x v="50"/>
    <x v="3"/>
    <x v="0"/>
    <x v="0"/>
  </r>
  <r>
    <s v="KRW-91640-596"/>
    <x v="409"/>
    <x v="477"/>
    <s v="R-L-0.5"/>
    <n v="3"/>
    <x v="477"/>
    <s v="ttilzeyeb@hostgator.com"/>
    <x v="0"/>
    <x v="0"/>
    <s v="L"/>
    <x v="1"/>
    <n v="7.169999999999999"/>
    <x v="137"/>
    <x v="0"/>
    <x v="1"/>
    <x v="1"/>
  </r>
  <r>
    <s v="AOT-70449-651"/>
    <x v="410"/>
    <x v="478"/>
    <s v="R-D-2.5"/>
    <n v="5"/>
    <x v="478"/>
    <s v=""/>
    <x v="0"/>
    <x v="0"/>
    <s v="D"/>
    <x v="2"/>
    <n v="20.584999999999997"/>
    <x v="182"/>
    <x v="0"/>
    <x v="2"/>
    <x v="0"/>
  </r>
  <r>
    <s v="DGC-21813-731"/>
    <x v="127"/>
    <x v="479"/>
    <s v="L-D-0.2"/>
    <n v="2"/>
    <x v="479"/>
    <s v=""/>
    <x v="0"/>
    <x v="3"/>
    <s v="D"/>
    <x v="3"/>
    <n v="3.8849999999999998"/>
    <x v="41"/>
    <x v="3"/>
    <x v="2"/>
    <x v="1"/>
  </r>
  <r>
    <s v="JBE-92943-643"/>
    <x v="411"/>
    <x v="480"/>
    <s v="E-D-2.5"/>
    <n v="5"/>
    <x v="480"/>
    <s v="kimortsee@alexa.com"/>
    <x v="0"/>
    <x v="1"/>
    <s v="D"/>
    <x v="2"/>
    <n v="27.945"/>
    <x v="141"/>
    <x v="1"/>
    <x v="2"/>
    <x v="1"/>
  </r>
  <r>
    <s v="ZIL-34948-499"/>
    <x v="112"/>
    <x v="464"/>
    <s v="A-D-0.5"/>
    <n v="2"/>
    <x v="464"/>
    <s v="murione5@alexa.com"/>
    <x v="1"/>
    <x v="2"/>
    <s v="D"/>
    <x v="1"/>
    <n v="5.97"/>
    <x v="22"/>
    <x v="2"/>
    <x v="2"/>
    <x v="0"/>
  </r>
  <r>
    <s v="JSU-23781-256"/>
    <x v="412"/>
    <x v="481"/>
    <s v="L-D-0.2"/>
    <n v="1"/>
    <x v="481"/>
    <s v="marmisteadeg@blogtalkradio.com"/>
    <x v="0"/>
    <x v="3"/>
    <s v="D"/>
    <x v="3"/>
    <n v="3.8849999999999998"/>
    <x v="84"/>
    <x v="3"/>
    <x v="2"/>
    <x v="1"/>
  </r>
  <r>
    <s v="JSU-23781-256"/>
    <x v="412"/>
    <x v="481"/>
    <s v="R-M-1"/>
    <n v="4"/>
    <x v="481"/>
    <s v="marmisteadeg@blogtalkradio.com"/>
    <x v="0"/>
    <x v="0"/>
    <s v="M"/>
    <x v="0"/>
    <n v="9.9499999999999993"/>
    <x v="10"/>
    <x v="0"/>
    <x v="0"/>
    <x v="1"/>
  </r>
  <r>
    <s v="VPX-44956-367"/>
    <x v="413"/>
    <x v="482"/>
    <s v="R-M-0.5"/>
    <n v="5"/>
    <x v="482"/>
    <s v="vupstoneei@google.pl"/>
    <x v="0"/>
    <x v="0"/>
    <s v="M"/>
    <x v="1"/>
    <n v="5.97"/>
    <x v="44"/>
    <x v="0"/>
    <x v="0"/>
    <x v="1"/>
  </r>
  <r>
    <s v="VTB-46451-959"/>
    <x v="414"/>
    <x v="483"/>
    <s v="L-D-2.5"/>
    <n v="1"/>
    <x v="483"/>
    <s v="bbeelbyej@rediff.com"/>
    <x v="1"/>
    <x v="3"/>
    <s v="D"/>
    <x v="2"/>
    <n v="29.784999999999997"/>
    <x v="91"/>
    <x v="3"/>
    <x v="2"/>
    <x v="1"/>
  </r>
  <r>
    <s v="DNZ-11665-950"/>
    <x v="415"/>
    <x v="484"/>
    <s v="L-L-2.5"/>
    <n v="2"/>
    <x v="484"/>
    <s v=""/>
    <x v="0"/>
    <x v="3"/>
    <s v="L"/>
    <x v="2"/>
    <n v="36.454999999999998"/>
    <x v="37"/>
    <x v="3"/>
    <x v="1"/>
    <x v="1"/>
  </r>
  <r>
    <s v="ITR-54735-364"/>
    <x v="416"/>
    <x v="485"/>
    <s v="R-D-0.2"/>
    <n v="5"/>
    <x v="485"/>
    <s v=""/>
    <x v="0"/>
    <x v="0"/>
    <s v="D"/>
    <x v="3"/>
    <n v="2.6849999999999996"/>
    <x v="148"/>
    <x v="0"/>
    <x v="2"/>
    <x v="0"/>
  </r>
  <r>
    <s v="YDS-02797-307"/>
    <x v="417"/>
    <x v="486"/>
    <s v="E-M-2.5"/>
    <n v="4"/>
    <x v="486"/>
    <s v="wspeechlyem@amazon.com"/>
    <x v="0"/>
    <x v="1"/>
    <s v="M"/>
    <x v="2"/>
    <n v="31.624999999999996"/>
    <x v="177"/>
    <x v="1"/>
    <x v="0"/>
    <x v="0"/>
  </r>
  <r>
    <s v="BPG-68988-842"/>
    <x v="418"/>
    <x v="487"/>
    <s v="E-M-0.5"/>
    <n v="5"/>
    <x v="487"/>
    <s v="iphillpoten@buzzfeed.com"/>
    <x v="2"/>
    <x v="1"/>
    <s v="M"/>
    <x v="1"/>
    <n v="8.25"/>
    <x v="1"/>
    <x v="1"/>
    <x v="0"/>
    <x v="1"/>
  </r>
  <r>
    <s v="XZG-51938-658"/>
    <x v="419"/>
    <x v="488"/>
    <s v="E-L-0.5"/>
    <n v="6"/>
    <x v="488"/>
    <s v="lpennaccieo@statcounter.com"/>
    <x v="0"/>
    <x v="1"/>
    <s v="L"/>
    <x v="1"/>
    <n v="8.91"/>
    <x v="119"/>
    <x v="1"/>
    <x v="1"/>
    <x v="1"/>
  </r>
  <r>
    <s v="KAR-24978-271"/>
    <x v="420"/>
    <x v="489"/>
    <s v="R-M-1"/>
    <n v="6"/>
    <x v="489"/>
    <s v="sarpinep@moonfruit.com"/>
    <x v="0"/>
    <x v="0"/>
    <s v="M"/>
    <x v="0"/>
    <n v="9.9499999999999993"/>
    <x v="33"/>
    <x v="0"/>
    <x v="0"/>
    <x v="1"/>
  </r>
  <r>
    <s v="FQK-28730-361"/>
    <x v="421"/>
    <x v="490"/>
    <s v="R-M-1"/>
    <n v="6"/>
    <x v="490"/>
    <s v="dfrieseq@cargocollective.com"/>
    <x v="0"/>
    <x v="0"/>
    <s v="M"/>
    <x v="0"/>
    <n v="9.9499999999999993"/>
    <x v="33"/>
    <x v="0"/>
    <x v="0"/>
    <x v="1"/>
  </r>
  <r>
    <s v="BGB-67996-089"/>
    <x v="422"/>
    <x v="491"/>
    <s v="R-D-1"/>
    <n v="5"/>
    <x v="491"/>
    <s v="rsharerer@flavors.me"/>
    <x v="0"/>
    <x v="0"/>
    <s v="D"/>
    <x v="0"/>
    <n v="8.9499999999999993"/>
    <x v="153"/>
    <x v="0"/>
    <x v="2"/>
    <x v="1"/>
  </r>
  <r>
    <s v="XMC-20620-809"/>
    <x v="423"/>
    <x v="492"/>
    <s v="E-M-0.5"/>
    <n v="2"/>
    <x v="492"/>
    <s v="nnasebyes@umich.edu"/>
    <x v="0"/>
    <x v="1"/>
    <s v="M"/>
    <x v="1"/>
    <n v="8.25"/>
    <x v="38"/>
    <x v="1"/>
    <x v="0"/>
    <x v="0"/>
  </r>
  <r>
    <s v="ZSO-58292-191"/>
    <x v="109"/>
    <x v="493"/>
    <s v="R-D-0.5"/>
    <n v="4"/>
    <x v="493"/>
    <s v=""/>
    <x v="0"/>
    <x v="0"/>
    <s v="D"/>
    <x v="1"/>
    <n v="5.3699999999999992"/>
    <x v="155"/>
    <x v="0"/>
    <x v="2"/>
    <x v="1"/>
  </r>
  <r>
    <s v="LWJ-06793-303"/>
    <x v="204"/>
    <x v="494"/>
    <s v="R-M-2.5"/>
    <n v="2"/>
    <x v="494"/>
    <s v="koculleneu@ca.gov"/>
    <x v="1"/>
    <x v="0"/>
    <s v="M"/>
    <x v="2"/>
    <n v="22.884999999999998"/>
    <x v="135"/>
    <x v="0"/>
    <x v="0"/>
    <x v="0"/>
  </r>
  <r>
    <s v="FLM-82229-989"/>
    <x v="424"/>
    <x v="495"/>
    <s v="L-L-0.2"/>
    <n v="2"/>
    <x v="495"/>
    <s v=""/>
    <x v="1"/>
    <x v="3"/>
    <s v="L"/>
    <x v="3"/>
    <n v="4.7549999999999999"/>
    <x v="54"/>
    <x v="3"/>
    <x v="1"/>
    <x v="1"/>
  </r>
  <r>
    <s v="CPV-90280-133"/>
    <x v="13"/>
    <x v="464"/>
    <s v="R-D-0.2"/>
    <n v="3"/>
    <x v="464"/>
    <s v="murione5@alexa.com"/>
    <x v="1"/>
    <x v="0"/>
    <s v="D"/>
    <x v="3"/>
    <n v="2.6849999999999996"/>
    <x v="36"/>
    <x v="0"/>
    <x v="2"/>
    <x v="0"/>
  </r>
  <r>
    <s v="OGW-60685-912"/>
    <x v="224"/>
    <x v="496"/>
    <s v="E-D-2.5"/>
    <n v="4"/>
    <x v="496"/>
    <s v="hbranganex@woothemes.com"/>
    <x v="0"/>
    <x v="1"/>
    <s v="D"/>
    <x v="2"/>
    <n v="27.945"/>
    <x v="150"/>
    <x v="1"/>
    <x v="2"/>
    <x v="0"/>
  </r>
  <r>
    <s v="DEC-11160-362"/>
    <x v="220"/>
    <x v="497"/>
    <s v="R-D-0.2"/>
    <n v="4"/>
    <x v="497"/>
    <s v="agallyoney@engadget.com"/>
    <x v="0"/>
    <x v="0"/>
    <s v="D"/>
    <x v="3"/>
    <n v="2.6849999999999996"/>
    <x v="175"/>
    <x v="0"/>
    <x v="2"/>
    <x v="0"/>
  </r>
  <r>
    <s v="WCT-07869-499"/>
    <x v="91"/>
    <x v="498"/>
    <s v="R-D-0.5"/>
    <n v="5"/>
    <x v="498"/>
    <s v="bdomangeez@yahoo.co.jp"/>
    <x v="0"/>
    <x v="0"/>
    <s v="D"/>
    <x v="1"/>
    <n v="5.3699999999999992"/>
    <x v="51"/>
    <x v="0"/>
    <x v="2"/>
    <x v="1"/>
  </r>
  <r>
    <s v="FHD-89872-325"/>
    <x v="425"/>
    <x v="499"/>
    <s v="L-L-1"/>
    <n v="4"/>
    <x v="499"/>
    <s v="koslerf0@gmpg.org"/>
    <x v="0"/>
    <x v="3"/>
    <s v="L"/>
    <x v="0"/>
    <n v="15.85"/>
    <x v="165"/>
    <x v="3"/>
    <x v="1"/>
    <x v="0"/>
  </r>
  <r>
    <s v="AZF-45991-584"/>
    <x v="426"/>
    <x v="500"/>
    <s v="A-D-2.5"/>
    <n v="1"/>
    <x v="500"/>
    <s v=""/>
    <x v="1"/>
    <x v="2"/>
    <s v="D"/>
    <x v="2"/>
    <n v="22.884999999999998"/>
    <x v="156"/>
    <x v="2"/>
    <x v="2"/>
    <x v="0"/>
  </r>
  <r>
    <s v="MDG-14481-513"/>
    <x v="427"/>
    <x v="501"/>
    <s v="A-M-2.5"/>
    <n v="4"/>
    <x v="501"/>
    <s v="zpellettf2@dailymotion.com"/>
    <x v="0"/>
    <x v="2"/>
    <s v="M"/>
    <x v="2"/>
    <n v="25.874999999999996"/>
    <x v="68"/>
    <x v="2"/>
    <x v="0"/>
    <x v="1"/>
  </r>
  <r>
    <s v="OFN-49424-848"/>
    <x v="428"/>
    <x v="502"/>
    <s v="R-L-2.5"/>
    <n v="2"/>
    <x v="502"/>
    <s v="isprakesf3@spiegel.de"/>
    <x v="0"/>
    <x v="0"/>
    <s v="L"/>
    <x v="2"/>
    <n v="27.484999999999996"/>
    <x v="4"/>
    <x v="0"/>
    <x v="1"/>
    <x v="1"/>
  </r>
  <r>
    <s v="NFA-03411-746"/>
    <x v="383"/>
    <x v="503"/>
    <s v="A-L-0.5"/>
    <n v="2"/>
    <x v="503"/>
    <s v="hfromantf4@ucsd.edu"/>
    <x v="0"/>
    <x v="2"/>
    <s v="L"/>
    <x v="1"/>
    <n v="7.77"/>
    <x v="42"/>
    <x v="2"/>
    <x v="1"/>
    <x v="1"/>
  </r>
  <r>
    <s v="CYM-74988-450"/>
    <x v="156"/>
    <x v="504"/>
    <s v="L-D-0.2"/>
    <n v="4"/>
    <x v="504"/>
    <s v="rflearf5@artisteer.com"/>
    <x v="2"/>
    <x v="3"/>
    <s v="D"/>
    <x v="3"/>
    <n v="3.8849999999999998"/>
    <x v="42"/>
    <x v="3"/>
    <x v="2"/>
    <x v="1"/>
  </r>
  <r>
    <s v="WTV-24996-658"/>
    <x v="429"/>
    <x v="505"/>
    <s v="E-D-2.5"/>
    <n v="3"/>
    <x v="505"/>
    <s v=""/>
    <x v="1"/>
    <x v="1"/>
    <s v="D"/>
    <x v="2"/>
    <n v="27.945"/>
    <x v="171"/>
    <x v="1"/>
    <x v="2"/>
    <x v="1"/>
  </r>
  <r>
    <s v="DSL-69915-544"/>
    <x v="103"/>
    <x v="506"/>
    <s v="R-L-0.2"/>
    <n v="3"/>
    <x v="506"/>
    <s v="wlightollersf9@baidu.com"/>
    <x v="0"/>
    <x v="0"/>
    <s v="L"/>
    <x v="3"/>
    <n v="3.5849999999999995"/>
    <x v="127"/>
    <x v="0"/>
    <x v="1"/>
    <x v="0"/>
  </r>
  <r>
    <s v="NBT-35757-542"/>
    <x v="361"/>
    <x v="507"/>
    <s v="E-L-0.2"/>
    <n v="3"/>
    <x v="507"/>
    <s v="bmundenf8@elpais.com"/>
    <x v="0"/>
    <x v="1"/>
    <s v="L"/>
    <x v="3"/>
    <n v="4.4550000000000001"/>
    <x v="77"/>
    <x v="1"/>
    <x v="1"/>
    <x v="0"/>
  </r>
  <r>
    <s v="OYU-25085-528"/>
    <x v="120"/>
    <x v="506"/>
    <s v="E-L-0.2"/>
    <n v="4"/>
    <x v="506"/>
    <s v="wlightollersf9@baidu.com"/>
    <x v="0"/>
    <x v="1"/>
    <s v="L"/>
    <x v="3"/>
    <n v="4.4550000000000001"/>
    <x v="58"/>
    <x v="1"/>
    <x v="1"/>
    <x v="0"/>
  </r>
  <r>
    <s v="XCG-07109-195"/>
    <x v="430"/>
    <x v="508"/>
    <s v="L-D-0.2"/>
    <n v="6"/>
    <x v="508"/>
    <s v="nbrakespearfa@rediff.com"/>
    <x v="0"/>
    <x v="3"/>
    <s v="D"/>
    <x v="3"/>
    <n v="3.8849999999999998"/>
    <x v="102"/>
    <x v="3"/>
    <x v="2"/>
    <x v="0"/>
  </r>
  <r>
    <s v="YZA-25234-630"/>
    <x v="125"/>
    <x v="509"/>
    <s v="E-D-0.2"/>
    <n v="2"/>
    <x v="509"/>
    <s v="mglawsopfb@reverbnation.com"/>
    <x v="0"/>
    <x v="1"/>
    <s v="D"/>
    <x v="3"/>
    <n v="3.645"/>
    <x v="35"/>
    <x v="1"/>
    <x v="2"/>
    <x v="1"/>
  </r>
  <r>
    <s v="OKU-29966-417"/>
    <x v="431"/>
    <x v="510"/>
    <s v="E-L-0.2"/>
    <n v="4"/>
    <x v="510"/>
    <s v="galbertsfc@etsy.com"/>
    <x v="2"/>
    <x v="1"/>
    <s v="L"/>
    <x v="3"/>
    <n v="4.4550000000000001"/>
    <x v="58"/>
    <x v="1"/>
    <x v="1"/>
    <x v="0"/>
  </r>
  <r>
    <s v="MEX-29350-659"/>
    <x v="40"/>
    <x v="511"/>
    <s v="E-M-1"/>
    <n v="5"/>
    <x v="511"/>
    <s v="vpolglasefd@about.me"/>
    <x v="0"/>
    <x v="1"/>
    <s v="M"/>
    <x v="0"/>
    <n v="13.75"/>
    <x v="85"/>
    <x v="1"/>
    <x v="0"/>
    <x v="1"/>
  </r>
  <r>
    <s v="NOY-99738-977"/>
    <x v="432"/>
    <x v="512"/>
    <s v="R-L-2.5"/>
    <n v="2"/>
    <x v="512"/>
    <s v=""/>
    <x v="2"/>
    <x v="0"/>
    <s v="L"/>
    <x v="2"/>
    <n v="27.484999999999996"/>
    <x v="4"/>
    <x v="0"/>
    <x v="1"/>
    <x v="0"/>
  </r>
  <r>
    <s v="TCR-01064-030"/>
    <x v="254"/>
    <x v="513"/>
    <s v="E-M-1"/>
    <n v="6"/>
    <x v="513"/>
    <s v="sbuschff@so-net.ne.jp"/>
    <x v="1"/>
    <x v="1"/>
    <s v="M"/>
    <x v="0"/>
    <n v="13.75"/>
    <x v="121"/>
    <x v="1"/>
    <x v="0"/>
    <x v="1"/>
  </r>
  <r>
    <s v="YUL-42750-776"/>
    <x v="219"/>
    <x v="514"/>
    <s v="L-M-0.2"/>
    <n v="2"/>
    <x v="514"/>
    <s v="craisbeckfg@webnode.com"/>
    <x v="0"/>
    <x v="3"/>
    <s v="M"/>
    <x v="3"/>
    <n v="4.3650000000000002"/>
    <x v="31"/>
    <x v="3"/>
    <x v="0"/>
    <x v="0"/>
  </r>
  <r>
    <s v="XQJ-86887-506"/>
    <x v="433"/>
    <x v="464"/>
    <s v="E-L-1"/>
    <n v="4"/>
    <x v="464"/>
    <s v="murione5@alexa.com"/>
    <x v="1"/>
    <x v="1"/>
    <s v="L"/>
    <x v="0"/>
    <n v="14.85"/>
    <x v="48"/>
    <x v="1"/>
    <x v="1"/>
    <x v="0"/>
  </r>
  <r>
    <s v="CUN-90044-279"/>
    <x v="434"/>
    <x v="515"/>
    <s v="L-D-0.2"/>
    <n v="4"/>
    <x v="515"/>
    <s v=""/>
    <x v="0"/>
    <x v="3"/>
    <s v="D"/>
    <x v="3"/>
    <n v="3.8849999999999998"/>
    <x v="42"/>
    <x v="3"/>
    <x v="2"/>
    <x v="0"/>
  </r>
  <r>
    <s v="ICC-73030-502"/>
    <x v="435"/>
    <x v="516"/>
    <s v="A-L-1"/>
    <n v="3"/>
    <x v="516"/>
    <s v="raynoldfj@ustream.tv"/>
    <x v="0"/>
    <x v="2"/>
    <s v="L"/>
    <x v="0"/>
    <n v="12.95"/>
    <x v="5"/>
    <x v="2"/>
    <x v="1"/>
    <x v="0"/>
  </r>
  <r>
    <s v="ADP-04506-084"/>
    <x v="436"/>
    <x v="517"/>
    <s v="E-M-2.5"/>
    <n v="6"/>
    <x v="517"/>
    <s v=""/>
    <x v="0"/>
    <x v="1"/>
    <s v="M"/>
    <x v="2"/>
    <n v="31.624999999999996"/>
    <x v="152"/>
    <x v="1"/>
    <x v="0"/>
    <x v="0"/>
  </r>
  <r>
    <s v="PNU-22150-408"/>
    <x v="437"/>
    <x v="518"/>
    <s v="A-D-0.2"/>
    <n v="6"/>
    <x v="518"/>
    <s v=""/>
    <x v="1"/>
    <x v="2"/>
    <s v="D"/>
    <x v="3"/>
    <n v="2.9849999999999999"/>
    <x v="8"/>
    <x v="2"/>
    <x v="2"/>
    <x v="0"/>
  </r>
  <r>
    <s v="VSQ-07182-513"/>
    <x v="438"/>
    <x v="519"/>
    <s v="L-L-0.2"/>
    <n v="6"/>
    <x v="519"/>
    <s v="bgrecefm@naver.com"/>
    <x v="2"/>
    <x v="3"/>
    <s v="L"/>
    <x v="3"/>
    <n v="4.7549999999999999"/>
    <x v="32"/>
    <x v="3"/>
    <x v="1"/>
    <x v="1"/>
  </r>
  <r>
    <s v="SPF-31673-217"/>
    <x v="439"/>
    <x v="520"/>
    <s v="E-M-1"/>
    <n v="6"/>
    <x v="520"/>
    <s v="dflintiffg1@e-recht24.de"/>
    <x v="2"/>
    <x v="1"/>
    <s v="M"/>
    <x v="0"/>
    <n v="13.75"/>
    <x v="121"/>
    <x v="1"/>
    <x v="0"/>
    <x v="1"/>
  </r>
  <r>
    <s v="NEX-63825-598"/>
    <x v="175"/>
    <x v="521"/>
    <s v="R-L-0.5"/>
    <n v="2"/>
    <x v="521"/>
    <s v="athysfo@cdc.gov"/>
    <x v="0"/>
    <x v="0"/>
    <s v="L"/>
    <x v="1"/>
    <n v="7.169999999999999"/>
    <x v="79"/>
    <x v="0"/>
    <x v="1"/>
    <x v="1"/>
  </r>
  <r>
    <s v="XPG-66112-335"/>
    <x v="440"/>
    <x v="522"/>
    <s v="R-D-2.5"/>
    <n v="4"/>
    <x v="522"/>
    <s v="jchuggfp@about.me"/>
    <x v="0"/>
    <x v="0"/>
    <s v="D"/>
    <x v="2"/>
    <n v="20.584999999999997"/>
    <x v="18"/>
    <x v="0"/>
    <x v="2"/>
    <x v="1"/>
  </r>
  <r>
    <s v="NSQ-72210-345"/>
    <x v="441"/>
    <x v="523"/>
    <s v="A-M-0.2"/>
    <n v="6"/>
    <x v="523"/>
    <s v="akelstonfq@sakura.ne.jp"/>
    <x v="0"/>
    <x v="2"/>
    <s v="M"/>
    <x v="3"/>
    <n v="3.375"/>
    <x v="16"/>
    <x v="2"/>
    <x v="0"/>
    <x v="0"/>
  </r>
  <r>
    <s v="XRR-28376-277"/>
    <x v="442"/>
    <x v="524"/>
    <s v="R-L-2.5"/>
    <n v="6"/>
    <x v="524"/>
    <s v=""/>
    <x v="1"/>
    <x v="0"/>
    <s v="L"/>
    <x v="2"/>
    <n v="27.484999999999996"/>
    <x v="183"/>
    <x v="0"/>
    <x v="1"/>
    <x v="1"/>
  </r>
  <r>
    <s v="WHQ-25197-475"/>
    <x v="443"/>
    <x v="525"/>
    <s v="L-L-0.2"/>
    <n v="4"/>
    <x v="525"/>
    <s v="cmottramfs@harvard.edu"/>
    <x v="0"/>
    <x v="3"/>
    <s v="L"/>
    <x v="3"/>
    <n v="4.7549999999999999"/>
    <x v="81"/>
    <x v="3"/>
    <x v="1"/>
    <x v="0"/>
  </r>
  <r>
    <s v="HMB-30634-745"/>
    <x v="216"/>
    <x v="520"/>
    <s v="A-D-2.5"/>
    <n v="6"/>
    <x v="520"/>
    <s v="dflintiffg1@e-recht24.de"/>
    <x v="2"/>
    <x v="2"/>
    <s v="D"/>
    <x v="2"/>
    <n v="22.884999999999998"/>
    <x v="170"/>
    <x v="2"/>
    <x v="2"/>
    <x v="1"/>
  </r>
  <r>
    <s v="XTL-68000-371"/>
    <x v="444"/>
    <x v="526"/>
    <s v="A-M-0.5"/>
    <n v="4"/>
    <x v="526"/>
    <s v="dsangwinfu@weebly.com"/>
    <x v="0"/>
    <x v="2"/>
    <s v="M"/>
    <x v="1"/>
    <n v="6.75"/>
    <x v="25"/>
    <x v="2"/>
    <x v="0"/>
    <x v="1"/>
  </r>
  <r>
    <s v="YES-51109-625"/>
    <x v="37"/>
    <x v="527"/>
    <s v="E-L-0.5"/>
    <n v="4"/>
    <x v="527"/>
    <s v="eaizikowitzfv@virginia.edu"/>
    <x v="2"/>
    <x v="1"/>
    <s v="L"/>
    <x v="1"/>
    <n v="8.91"/>
    <x v="70"/>
    <x v="1"/>
    <x v="1"/>
    <x v="1"/>
  </r>
  <r>
    <s v="EAY-89850-211"/>
    <x v="445"/>
    <x v="528"/>
    <s v="A-D-0.2"/>
    <n v="2"/>
    <x v="528"/>
    <s v=""/>
    <x v="0"/>
    <x v="2"/>
    <s v="D"/>
    <x v="3"/>
    <n v="2.9849999999999999"/>
    <x v="9"/>
    <x v="2"/>
    <x v="2"/>
    <x v="0"/>
  </r>
  <r>
    <s v="IOQ-84840-827"/>
    <x v="446"/>
    <x v="529"/>
    <s v="A-M-1"/>
    <n v="6"/>
    <x v="529"/>
    <s v="cvenourfx@ask.com"/>
    <x v="0"/>
    <x v="2"/>
    <s v="M"/>
    <x v="0"/>
    <n v="11.25"/>
    <x v="173"/>
    <x v="2"/>
    <x v="0"/>
    <x v="1"/>
  </r>
  <r>
    <s v="FBD-56220-430"/>
    <x v="245"/>
    <x v="530"/>
    <s v="R-L-0.2"/>
    <n v="6"/>
    <x v="530"/>
    <s v="mharbyfy@163.com"/>
    <x v="0"/>
    <x v="0"/>
    <s v="L"/>
    <x v="3"/>
    <n v="3.5849999999999995"/>
    <x v="137"/>
    <x v="0"/>
    <x v="1"/>
    <x v="0"/>
  </r>
  <r>
    <s v="COV-52659-202"/>
    <x v="447"/>
    <x v="531"/>
    <s v="L-M-2.5"/>
    <n v="2"/>
    <x v="531"/>
    <s v="rthickpennyfz@cafepress.com"/>
    <x v="0"/>
    <x v="3"/>
    <s v="M"/>
    <x v="2"/>
    <n v="33.464999999999996"/>
    <x v="174"/>
    <x v="3"/>
    <x v="0"/>
    <x v="1"/>
  </r>
  <r>
    <s v="YUO-76652-814"/>
    <x v="448"/>
    <x v="532"/>
    <s v="A-D-0.2"/>
    <n v="6"/>
    <x v="532"/>
    <s v="pormerodg0@redcross.org"/>
    <x v="0"/>
    <x v="2"/>
    <s v="D"/>
    <x v="3"/>
    <n v="2.9849999999999999"/>
    <x v="8"/>
    <x v="2"/>
    <x v="2"/>
    <x v="1"/>
  </r>
  <r>
    <s v="PBT-36926-102"/>
    <x v="344"/>
    <x v="520"/>
    <s v="L-M-1"/>
    <n v="4"/>
    <x v="520"/>
    <s v="dflintiffg1@e-recht24.de"/>
    <x v="2"/>
    <x v="3"/>
    <s v="M"/>
    <x v="0"/>
    <n v="14.55"/>
    <x v="125"/>
    <x v="3"/>
    <x v="0"/>
    <x v="1"/>
  </r>
  <r>
    <s v="BLV-60087-454"/>
    <x v="152"/>
    <x v="533"/>
    <s v="E-L-0.2"/>
    <n v="3"/>
    <x v="533"/>
    <s v="tzanettig2@gravatar.com"/>
    <x v="1"/>
    <x v="1"/>
    <s v="L"/>
    <x v="3"/>
    <n v="4.4550000000000001"/>
    <x v="77"/>
    <x v="1"/>
    <x v="1"/>
    <x v="1"/>
  </r>
  <r>
    <s v="BLV-60087-454"/>
    <x v="152"/>
    <x v="533"/>
    <s v="A-M-0.5"/>
    <n v="5"/>
    <x v="533"/>
    <s v="tzanettig2@gravatar.com"/>
    <x v="1"/>
    <x v="2"/>
    <s v="M"/>
    <x v="1"/>
    <n v="6.75"/>
    <x v="65"/>
    <x v="2"/>
    <x v="0"/>
    <x v="1"/>
  </r>
  <r>
    <s v="QYC-63914-195"/>
    <x v="449"/>
    <x v="534"/>
    <s v="E-L-1"/>
    <n v="3"/>
    <x v="534"/>
    <s v="rkirtleyg4@hatena.ne.jp"/>
    <x v="0"/>
    <x v="1"/>
    <s v="L"/>
    <x v="0"/>
    <n v="14.85"/>
    <x v="69"/>
    <x v="1"/>
    <x v="1"/>
    <x v="0"/>
  </r>
  <r>
    <s v="OIB-77163-890"/>
    <x v="450"/>
    <x v="535"/>
    <s v="E-L-0.5"/>
    <n v="5"/>
    <x v="535"/>
    <s v="cclemencetg5@weather.com"/>
    <x v="2"/>
    <x v="1"/>
    <s v="L"/>
    <x v="1"/>
    <n v="8.91"/>
    <x v="69"/>
    <x v="1"/>
    <x v="1"/>
    <x v="0"/>
  </r>
  <r>
    <s v="SGS-87525-238"/>
    <x v="451"/>
    <x v="536"/>
    <s v="E-D-1"/>
    <n v="5"/>
    <x v="536"/>
    <s v="rdonetg6@oakley.com"/>
    <x v="0"/>
    <x v="1"/>
    <s v="D"/>
    <x v="0"/>
    <n v="12.15"/>
    <x v="184"/>
    <x v="1"/>
    <x v="2"/>
    <x v="1"/>
  </r>
  <r>
    <s v="GQR-12490-152"/>
    <x v="83"/>
    <x v="537"/>
    <s v="R-L-0.2"/>
    <n v="1"/>
    <x v="537"/>
    <s v="sgaweng7@creativecommons.org"/>
    <x v="0"/>
    <x v="0"/>
    <s v="L"/>
    <x v="3"/>
    <n v="3.5849999999999995"/>
    <x v="60"/>
    <x v="0"/>
    <x v="1"/>
    <x v="0"/>
  </r>
  <r>
    <s v="UOJ-28238-299"/>
    <x v="452"/>
    <x v="538"/>
    <s v="R-L-0.2"/>
    <n v="6"/>
    <x v="538"/>
    <s v="rreadieg8@guardian.co.uk"/>
    <x v="0"/>
    <x v="0"/>
    <s v="L"/>
    <x v="3"/>
    <n v="3.5849999999999995"/>
    <x v="137"/>
    <x v="0"/>
    <x v="1"/>
    <x v="1"/>
  </r>
  <r>
    <s v="ETD-58130-674"/>
    <x v="453"/>
    <x v="539"/>
    <s v="E-M-0.5"/>
    <n v="2"/>
    <x v="539"/>
    <s v="cverissimogh@theglobeandmail.com"/>
    <x v="2"/>
    <x v="1"/>
    <s v="M"/>
    <x v="1"/>
    <n v="8.25"/>
    <x v="38"/>
    <x v="1"/>
    <x v="0"/>
    <x v="0"/>
  </r>
  <r>
    <s v="UPF-60123-025"/>
    <x v="454"/>
    <x v="540"/>
    <s v="R-L-2.5"/>
    <n v="3"/>
    <x v="540"/>
    <s v=""/>
    <x v="0"/>
    <x v="0"/>
    <s v="L"/>
    <x v="2"/>
    <n v="27.484999999999996"/>
    <x v="185"/>
    <x v="0"/>
    <x v="1"/>
    <x v="1"/>
  </r>
  <r>
    <s v="NQS-01613-687"/>
    <x v="455"/>
    <x v="541"/>
    <s v="L-D-0.5"/>
    <n v="1"/>
    <x v="541"/>
    <s v="bogb@elpais.com"/>
    <x v="0"/>
    <x v="3"/>
    <s v="D"/>
    <x v="1"/>
    <n v="7.77"/>
    <x v="41"/>
    <x v="3"/>
    <x v="2"/>
    <x v="0"/>
  </r>
  <r>
    <s v="MGH-36050-573"/>
    <x v="456"/>
    <x v="542"/>
    <s v="R-M-0.5"/>
    <n v="2"/>
    <x v="542"/>
    <s v="vstansburygc@unblog.fr"/>
    <x v="0"/>
    <x v="0"/>
    <s v="M"/>
    <x v="1"/>
    <n v="5.97"/>
    <x v="22"/>
    <x v="0"/>
    <x v="0"/>
    <x v="0"/>
  </r>
  <r>
    <s v="UVF-59322-459"/>
    <x v="373"/>
    <x v="543"/>
    <s v="E-L-2.5"/>
    <n v="6"/>
    <x v="543"/>
    <s v="dheinonengd@printfriendly.com"/>
    <x v="0"/>
    <x v="1"/>
    <s v="L"/>
    <x v="2"/>
    <n v="34.154999999999994"/>
    <x v="106"/>
    <x v="1"/>
    <x v="1"/>
    <x v="1"/>
  </r>
  <r>
    <s v="VET-41158-896"/>
    <x v="457"/>
    <x v="544"/>
    <s v="E-M-2.5"/>
    <n v="2"/>
    <x v="544"/>
    <s v="jshentonge@google.com.hk"/>
    <x v="0"/>
    <x v="1"/>
    <s v="M"/>
    <x v="2"/>
    <n v="31.624999999999996"/>
    <x v="40"/>
    <x v="1"/>
    <x v="0"/>
    <x v="0"/>
  </r>
  <r>
    <s v="XYL-52196-459"/>
    <x v="458"/>
    <x v="545"/>
    <s v="R-D-0.2"/>
    <n v="3"/>
    <x v="545"/>
    <s v="jwilkissongf@nba.com"/>
    <x v="0"/>
    <x v="0"/>
    <s v="D"/>
    <x v="3"/>
    <n v="2.6849999999999996"/>
    <x v="36"/>
    <x v="0"/>
    <x v="2"/>
    <x v="0"/>
  </r>
  <r>
    <s v="BPZ-51283-916"/>
    <x v="264"/>
    <x v="546"/>
    <s v="A-M-2.5"/>
    <n v="2"/>
    <x v="546"/>
    <s v=""/>
    <x v="0"/>
    <x v="2"/>
    <s v="M"/>
    <x v="2"/>
    <n v="25.874999999999996"/>
    <x v="95"/>
    <x v="2"/>
    <x v="0"/>
    <x v="1"/>
  </r>
  <r>
    <s v="VQW-91903-926"/>
    <x v="459"/>
    <x v="539"/>
    <s v="E-D-2.5"/>
    <n v="1"/>
    <x v="539"/>
    <s v="cverissimogh@theglobeandmail.com"/>
    <x v="2"/>
    <x v="1"/>
    <s v="D"/>
    <x v="2"/>
    <n v="27.945"/>
    <x v="140"/>
    <x v="1"/>
    <x v="2"/>
    <x v="0"/>
  </r>
  <r>
    <s v="OLF-77983-457"/>
    <x v="460"/>
    <x v="547"/>
    <s v="A-L-2.5"/>
    <n v="2"/>
    <x v="547"/>
    <s v="gstarcksgi@abc.net.au"/>
    <x v="0"/>
    <x v="2"/>
    <s v="L"/>
    <x v="2"/>
    <n v="29.784999999999997"/>
    <x v="120"/>
    <x v="2"/>
    <x v="1"/>
    <x v="1"/>
  </r>
  <r>
    <s v="MVI-04946-827"/>
    <x v="461"/>
    <x v="548"/>
    <s v="E-L-1"/>
    <n v="1"/>
    <x v="548"/>
    <s v=""/>
    <x v="2"/>
    <x v="1"/>
    <s v="L"/>
    <x v="0"/>
    <n v="14.85"/>
    <x v="151"/>
    <x v="1"/>
    <x v="1"/>
    <x v="1"/>
  </r>
  <r>
    <s v="UOG-94188-104"/>
    <x v="219"/>
    <x v="549"/>
    <s v="A-M-0.5"/>
    <n v="5"/>
    <x v="549"/>
    <s v="kscholardgk@sbwire.com"/>
    <x v="0"/>
    <x v="2"/>
    <s v="M"/>
    <x v="1"/>
    <n v="6.75"/>
    <x v="65"/>
    <x v="2"/>
    <x v="0"/>
    <x v="1"/>
  </r>
  <r>
    <s v="DSN-15872-519"/>
    <x v="462"/>
    <x v="550"/>
    <s v="L-L-2.5"/>
    <n v="4"/>
    <x v="550"/>
    <s v="bkindleygl@wikimedia.org"/>
    <x v="0"/>
    <x v="3"/>
    <s v="L"/>
    <x v="2"/>
    <n v="36.454999999999998"/>
    <x v="43"/>
    <x v="3"/>
    <x v="1"/>
    <x v="0"/>
  </r>
  <r>
    <s v="OUQ-73954-002"/>
    <x v="463"/>
    <x v="551"/>
    <s v="R-M-0.2"/>
    <n v="4"/>
    <x v="551"/>
    <s v="khammettgm@dmoz.org"/>
    <x v="0"/>
    <x v="0"/>
    <s v="M"/>
    <x v="3"/>
    <n v="2.9849999999999999"/>
    <x v="22"/>
    <x v="0"/>
    <x v="0"/>
    <x v="0"/>
  </r>
  <r>
    <s v="LGL-16843-667"/>
    <x v="464"/>
    <x v="552"/>
    <s v="A-D-0.2"/>
    <n v="4"/>
    <x v="552"/>
    <s v="ahulburtgn@fda.gov"/>
    <x v="0"/>
    <x v="2"/>
    <s v="D"/>
    <x v="3"/>
    <n v="2.9849999999999999"/>
    <x v="22"/>
    <x v="2"/>
    <x v="2"/>
    <x v="0"/>
  </r>
  <r>
    <s v="TCC-89722-031"/>
    <x v="465"/>
    <x v="553"/>
    <s v="L-D-0.5"/>
    <n v="1"/>
    <x v="553"/>
    <s v="plauritzengo@photobucket.com"/>
    <x v="0"/>
    <x v="3"/>
    <s v="D"/>
    <x v="1"/>
    <n v="7.77"/>
    <x v="41"/>
    <x v="3"/>
    <x v="2"/>
    <x v="1"/>
  </r>
  <r>
    <s v="TRA-79507-007"/>
    <x v="466"/>
    <x v="554"/>
    <s v="R-L-2.5"/>
    <n v="4"/>
    <x v="554"/>
    <s v="aburgwingp@redcross.org"/>
    <x v="0"/>
    <x v="0"/>
    <s v="L"/>
    <x v="2"/>
    <n v="27.484999999999996"/>
    <x v="108"/>
    <x v="0"/>
    <x v="1"/>
    <x v="0"/>
  </r>
  <r>
    <s v="MZJ-77284-941"/>
    <x v="467"/>
    <x v="555"/>
    <s v="E-L-0.2"/>
    <n v="5"/>
    <x v="555"/>
    <s v="erolingq@google.fr"/>
    <x v="0"/>
    <x v="1"/>
    <s v="L"/>
    <x v="3"/>
    <n v="4.4550000000000001"/>
    <x v="110"/>
    <x v="1"/>
    <x v="1"/>
    <x v="0"/>
  </r>
  <r>
    <s v="AXN-57779-891"/>
    <x v="468"/>
    <x v="556"/>
    <s v="R-M-0.2"/>
    <n v="3"/>
    <x v="556"/>
    <s v="dfowlegr@epa.gov"/>
    <x v="0"/>
    <x v="0"/>
    <s v="M"/>
    <x v="3"/>
    <n v="2.9849999999999999"/>
    <x v="169"/>
    <x v="0"/>
    <x v="0"/>
    <x v="1"/>
  </r>
  <r>
    <s v="PJB-15659-994"/>
    <x v="469"/>
    <x v="557"/>
    <s v="L-D-2.5"/>
    <n v="4"/>
    <x v="557"/>
    <s v=""/>
    <x v="1"/>
    <x v="3"/>
    <s v="D"/>
    <x v="2"/>
    <n v="29.784999999999997"/>
    <x v="129"/>
    <x v="3"/>
    <x v="2"/>
    <x v="1"/>
  </r>
  <r>
    <s v="LTS-03470-353"/>
    <x v="470"/>
    <x v="558"/>
    <s v="A-L-2.5"/>
    <n v="5"/>
    <x v="558"/>
    <s v="wpowleslandgt@soundcloud.com"/>
    <x v="0"/>
    <x v="2"/>
    <s v="L"/>
    <x v="2"/>
    <n v="29.784999999999997"/>
    <x v="74"/>
    <x v="2"/>
    <x v="1"/>
    <x v="0"/>
  </r>
  <r>
    <s v="UMM-28497-689"/>
    <x v="471"/>
    <x v="539"/>
    <s v="L-L-2.5"/>
    <n v="3"/>
    <x v="539"/>
    <s v="cverissimogh@theglobeandmail.com"/>
    <x v="2"/>
    <x v="3"/>
    <s v="L"/>
    <x v="2"/>
    <n v="36.454999999999998"/>
    <x v="63"/>
    <x v="3"/>
    <x v="1"/>
    <x v="0"/>
  </r>
  <r>
    <s v="MJZ-93232-402"/>
    <x v="472"/>
    <x v="559"/>
    <s v="E-D-0.2"/>
    <n v="1"/>
    <x v="559"/>
    <s v="lellinghamgv@sciencedaily.com"/>
    <x v="0"/>
    <x v="1"/>
    <s v="D"/>
    <x v="3"/>
    <n v="3.645"/>
    <x v="186"/>
    <x v="1"/>
    <x v="2"/>
    <x v="0"/>
  </r>
  <r>
    <s v="UHW-74617-126"/>
    <x v="173"/>
    <x v="560"/>
    <s v="E-D-2.5"/>
    <n v="2"/>
    <x v="560"/>
    <s v=""/>
    <x v="0"/>
    <x v="1"/>
    <s v="D"/>
    <x v="2"/>
    <n v="27.945"/>
    <x v="158"/>
    <x v="1"/>
    <x v="2"/>
    <x v="1"/>
  </r>
  <r>
    <s v="RIK-61730-794"/>
    <x v="473"/>
    <x v="561"/>
    <s v="L-M-0.2"/>
    <n v="6"/>
    <x v="561"/>
    <s v="afendtgx@forbes.com"/>
    <x v="0"/>
    <x v="3"/>
    <s v="M"/>
    <x v="3"/>
    <n v="4.3650000000000002"/>
    <x v="50"/>
    <x v="3"/>
    <x v="0"/>
    <x v="0"/>
  </r>
  <r>
    <s v="IDJ-55379-750"/>
    <x v="474"/>
    <x v="562"/>
    <s v="R-M-1"/>
    <n v="4"/>
    <x v="562"/>
    <s v="acleyburngy@lycos.com"/>
    <x v="0"/>
    <x v="0"/>
    <s v="M"/>
    <x v="0"/>
    <n v="9.9499999999999993"/>
    <x v="10"/>
    <x v="0"/>
    <x v="0"/>
    <x v="1"/>
  </r>
  <r>
    <s v="OHX-11953-965"/>
    <x v="475"/>
    <x v="563"/>
    <s v="E-L-2.5"/>
    <n v="2"/>
    <x v="563"/>
    <s v="tcastiglionegz@xing.com"/>
    <x v="0"/>
    <x v="1"/>
    <s v="L"/>
    <x v="2"/>
    <n v="34.154999999999994"/>
    <x v="93"/>
    <x v="1"/>
    <x v="1"/>
    <x v="1"/>
  </r>
  <r>
    <s v="TVV-42245-088"/>
    <x v="476"/>
    <x v="564"/>
    <s v="A-M-0.2"/>
    <n v="4"/>
    <x v="564"/>
    <s v=""/>
    <x v="1"/>
    <x v="2"/>
    <s v="M"/>
    <x v="3"/>
    <n v="3.375"/>
    <x v="72"/>
    <x v="2"/>
    <x v="0"/>
    <x v="1"/>
  </r>
  <r>
    <s v="DYP-74337-787"/>
    <x v="431"/>
    <x v="565"/>
    <s v="R-M-0.5"/>
    <n v="1"/>
    <x v="565"/>
    <s v=""/>
    <x v="0"/>
    <x v="0"/>
    <s v="M"/>
    <x v="1"/>
    <n v="5.97"/>
    <x v="9"/>
    <x v="0"/>
    <x v="0"/>
    <x v="1"/>
  </r>
  <r>
    <s v="OKA-93124-100"/>
    <x v="477"/>
    <x v="539"/>
    <s v="R-M-0.5"/>
    <n v="5"/>
    <x v="539"/>
    <s v="cverissimogh@theglobeandmail.com"/>
    <x v="2"/>
    <x v="0"/>
    <s v="M"/>
    <x v="1"/>
    <n v="5.97"/>
    <x v="44"/>
    <x v="0"/>
    <x v="0"/>
    <x v="0"/>
  </r>
  <r>
    <s v="IXW-20780-268"/>
    <x v="478"/>
    <x v="566"/>
    <s v="L-L-2.5"/>
    <n v="2"/>
    <x v="566"/>
    <s v="scouronneh3@mozilla.org"/>
    <x v="0"/>
    <x v="3"/>
    <s v="L"/>
    <x v="2"/>
    <n v="36.454999999999998"/>
    <x v="37"/>
    <x v="3"/>
    <x v="1"/>
    <x v="0"/>
  </r>
  <r>
    <s v="NGG-24006-937"/>
    <x v="45"/>
    <x v="567"/>
    <s v="E-M-2.5"/>
    <n v="4"/>
    <x v="567"/>
    <s v="lflippellih4@github.io"/>
    <x v="2"/>
    <x v="1"/>
    <s v="M"/>
    <x v="2"/>
    <n v="31.624999999999996"/>
    <x v="177"/>
    <x v="1"/>
    <x v="0"/>
    <x v="1"/>
  </r>
  <r>
    <s v="JZC-31180-557"/>
    <x v="444"/>
    <x v="568"/>
    <s v="L-M-2.5"/>
    <n v="1"/>
    <x v="568"/>
    <s v="relizabethh5@live.com"/>
    <x v="0"/>
    <x v="3"/>
    <s v="M"/>
    <x v="2"/>
    <n v="33.464999999999996"/>
    <x v="116"/>
    <x v="3"/>
    <x v="0"/>
    <x v="1"/>
  </r>
  <r>
    <s v="ZMU-63715-204"/>
    <x v="479"/>
    <x v="569"/>
    <s v="E-D-1"/>
    <n v="6"/>
    <x v="569"/>
    <s v="irenhardh6@i2i.jp"/>
    <x v="0"/>
    <x v="1"/>
    <s v="D"/>
    <x v="0"/>
    <n v="12.15"/>
    <x v="118"/>
    <x v="1"/>
    <x v="2"/>
    <x v="0"/>
  </r>
  <r>
    <s v="GND-08192-056"/>
    <x v="480"/>
    <x v="570"/>
    <s v="L-D-0.5"/>
    <n v="2"/>
    <x v="570"/>
    <s v="wrocheh7@xinhuanet.com"/>
    <x v="0"/>
    <x v="3"/>
    <s v="D"/>
    <x v="1"/>
    <n v="7.77"/>
    <x v="42"/>
    <x v="3"/>
    <x v="2"/>
    <x v="0"/>
  </r>
  <r>
    <s v="RYY-38961-093"/>
    <x v="481"/>
    <x v="571"/>
    <s v="A-M-0.2"/>
    <n v="6"/>
    <x v="571"/>
    <s v="lalawayhh@weather.com"/>
    <x v="0"/>
    <x v="2"/>
    <s v="M"/>
    <x v="3"/>
    <n v="3.375"/>
    <x v="16"/>
    <x v="2"/>
    <x v="0"/>
    <x v="1"/>
  </r>
  <r>
    <s v="CVA-64996-969"/>
    <x v="478"/>
    <x v="572"/>
    <s v="A-L-1"/>
    <n v="6"/>
    <x v="572"/>
    <s v="codgaardh9@nsw.gov.au"/>
    <x v="0"/>
    <x v="2"/>
    <s v="L"/>
    <x v="0"/>
    <n v="12.95"/>
    <x v="17"/>
    <x v="2"/>
    <x v="1"/>
    <x v="1"/>
  </r>
  <r>
    <s v="XTH-67276-442"/>
    <x v="482"/>
    <x v="573"/>
    <s v="L-M-2.5"/>
    <n v="4"/>
    <x v="573"/>
    <s v="bbyrdha@4shared.com"/>
    <x v="0"/>
    <x v="3"/>
    <s v="M"/>
    <x v="2"/>
    <n v="33.464999999999996"/>
    <x v="136"/>
    <x v="3"/>
    <x v="0"/>
    <x v="1"/>
  </r>
  <r>
    <s v="PVU-02950-470"/>
    <x v="353"/>
    <x v="574"/>
    <s v="E-D-1"/>
    <n v="1"/>
    <x v="574"/>
    <s v=""/>
    <x v="2"/>
    <x v="1"/>
    <s v="D"/>
    <x v="0"/>
    <n v="12.15"/>
    <x v="87"/>
    <x v="1"/>
    <x v="2"/>
    <x v="1"/>
  </r>
  <r>
    <s v="XSN-26809-910"/>
    <x v="199"/>
    <x v="575"/>
    <s v="E-M-2.5"/>
    <n v="2"/>
    <x v="575"/>
    <s v="dchardinhc@nhs.uk"/>
    <x v="1"/>
    <x v="1"/>
    <s v="M"/>
    <x v="2"/>
    <n v="31.624999999999996"/>
    <x v="40"/>
    <x v="1"/>
    <x v="0"/>
    <x v="0"/>
  </r>
  <r>
    <s v="UDN-88321-005"/>
    <x v="372"/>
    <x v="576"/>
    <s v="R-L-0.5"/>
    <n v="5"/>
    <x v="576"/>
    <s v="hradbonehd@newsvine.com"/>
    <x v="0"/>
    <x v="0"/>
    <s v="L"/>
    <x v="1"/>
    <n v="7.169999999999999"/>
    <x v="66"/>
    <x v="0"/>
    <x v="1"/>
    <x v="1"/>
  </r>
  <r>
    <s v="EXP-21628-670"/>
    <x v="267"/>
    <x v="577"/>
    <s v="A-M-2.5"/>
    <n v="3"/>
    <x v="577"/>
    <s v="wbernthhe@miitbeian.gov.cn"/>
    <x v="0"/>
    <x v="2"/>
    <s v="M"/>
    <x v="2"/>
    <n v="25.874999999999996"/>
    <x v="57"/>
    <x v="2"/>
    <x v="0"/>
    <x v="1"/>
  </r>
  <r>
    <s v="VGM-24161-361"/>
    <x v="480"/>
    <x v="578"/>
    <s v="E-M-2.5"/>
    <n v="2"/>
    <x v="578"/>
    <s v="bacarsonhf@cnn.com"/>
    <x v="0"/>
    <x v="1"/>
    <s v="M"/>
    <x v="2"/>
    <n v="31.624999999999996"/>
    <x v="40"/>
    <x v="1"/>
    <x v="0"/>
    <x v="0"/>
  </r>
  <r>
    <s v="PKN-19556-918"/>
    <x v="483"/>
    <x v="579"/>
    <s v="E-L-0.2"/>
    <n v="6"/>
    <x v="579"/>
    <s v="fbrighamhg@blog.com"/>
    <x v="1"/>
    <x v="1"/>
    <s v="L"/>
    <x v="3"/>
    <n v="4.4550000000000001"/>
    <x v="149"/>
    <x v="1"/>
    <x v="1"/>
    <x v="0"/>
  </r>
  <r>
    <s v="PKN-19556-918"/>
    <x v="483"/>
    <x v="579"/>
    <s v="L-D-0.5"/>
    <n v="4"/>
    <x v="579"/>
    <s v="fbrighamhg@blog.com"/>
    <x v="1"/>
    <x v="3"/>
    <s v="D"/>
    <x v="1"/>
    <n v="7.77"/>
    <x v="113"/>
    <x v="3"/>
    <x v="2"/>
    <x v="0"/>
  </r>
  <r>
    <s v="PKN-19556-918"/>
    <x v="483"/>
    <x v="579"/>
    <s v="A-D-0.2"/>
    <n v="1"/>
    <x v="579"/>
    <s v="fbrighamhg@blog.com"/>
    <x v="1"/>
    <x v="2"/>
    <s v="D"/>
    <x v="3"/>
    <n v="2.9849999999999999"/>
    <x v="55"/>
    <x v="2"/>
    <x v="2"/>
    <x v="0"/>
  </r>
  <r>
    <s v="PKN-19556-918"/>
    <x v="483"/>
    <x v="579"/>
    <s v="R-D-2.5"/>
    <n v="5"/>
    <x v="579"/>
    <s v="fbrighamhg@blog.com"/>
    <x v="1"/>
    <x v="0"/>
    <s v="D"/>
    <x v="2"/>
    <n v="20.584999999999997"/>
    <x v="182"/>
    <x v="0"/>
    <x v="2"/>
    <x v="0"/>
  </r>
  <r>
    <s v="DXQ-44537-297"/>
    <x v="484"/>
    <x v="580"/>
    <s v="E-L-0.5"/>
    <n v="4"/>
    <x v="580"/>
    <s v="myoxenhk@google.com"/>
    <x v="0"/>
    <x v="1"/>
    <s v="L"/>
    <x v="1"/>
    <n v="8.91"/>
    <x v="70"/>
    <x v="1"/>
    <x v="1"/>
    <x v="1"/>
  </r>
  <r>
    <s v="BPC-54727-307"/>
    <x v="485"/>
    <x v="581"/>
    <s v="R-L-1"/>
    <n v="4"/>
    <x v="581"/>
    <s v="gmcgavinhl@histats.com"/>
    <x v="0"/>
    <x v="0"/>
    <s v="L"/>
    <x v="0"/>
    <n v="11.95"/>
    <x v="62"/>
    <x v="0"/>
    <x v="1"/>
    <x v="1"/>
  </r>
  <r>
    <s v="KSH-47717-456"/>
    <x v="486"/>
    <x v="582"/>
    <s v="L-M-1"/>
    <n v="3"/>
    <x v="582"/>
    <s v="luttermarehm@engadget.com"/>
    <x v="0"/>
    <x v="3"/>
    <s v="M"/>
    <x v="0"/>
    <n v="14.55"/>
    <x v="34"/>
    <x v="3"/>
    <x v="0"/>
    <x v="1"/>
  </r>
  <r>
    <s v="ANK-59436-446"/>
    <x v="487"/>
    <x v="583"/>
    <s v="E-L-0.5"/>
    <n v="4"/>
    <x v="583"/>
    <s v="edambrogiohn@techcrunch.com"/>
    <x v="0"/>
    <x v="1"/>
    <s v="L"/>
    <x v="1"/>
    <n v="8.91"/>
    <x v="70"/>
    <x v="1"/>
    <x v="1"/>
    <x v="0"/>
  </r>
  <r>
    <s v="AYY-83051-752"/>
    <x v="488"/>
    <x v="584"/>
    <s v="L-L-1"/>
    <n v="6"/>
    <x v="584"/>
    <s v="cwinchcombeho@jiathis.com"/>
    <x v="0"/>
    <x v="3"/>
    <s v="L"/>
    <x v="0"/>
    <n v="15.85"/>
    <x v="179"/>
    <x v="3"/>
    <x v="1"/>
    <x v="0"/>
  </r>
  <r>
    <s v="CSW-59644-267"/>
    <x v="489"/>
    <x v="585"/>
    <s v="E-M-2.5"/>
    <n v="1"/>
    <x v="585"/>
    <s v="bpaumierhp@umn.edu"/>
    <x v="1"/>
    <x v="1"/>
    <s v="M"/>
    <x v="2"/>
    <n v="31.624999999999996"/>
    <x v="176"/>
    <x v="1"/>
    <x v="0"/>
    <x v="0"/>
  </r>
  <r>
    <s v="ITY-92466-909"/>
    <x v="162"/>
    <x v="586"/>
    <s v="A-M-2.5"/>
    <n v="3"/>
    <x v="586"/>
    <s v=""/>
    <x v="1"/>
    <x v="2"/>
    <s v="M"/>
    <x v="2"/>
    <n v="25.874999999999996"/>
    <x v="57"/>
    <x v="2"/>
    <x v="0"/>
    <x v="0"/>
  </r>
  <r>
    <s v="IGW-04801-466"/>
    <x v="490"/>
    <x v="587"/>
    <s v="L-D-0.2"/>
    <n v="1"/>
    <x v="587"/>
    <s v="jcapeyhr@bravesites.com"/>
    <x v="0"/>
    <x v="3"/>
    <s v="D"/>
    <x v="3"/>
    <n v="3.8849999999999998"/>
    <x v="84"/>
    <x v="3"/>
    <x v="2"/>
    <x v="0"/>
  </r>
  <r>
    <s v="LJN-34281-921"/>
    <x v="491"/>
    <x v="588"/>
    <s v="R-L-2.5"/>
    <n v="5"/>
    <x v="588"/>
    <s v="tmathonneti0@google.co.jp"/>
    <x v="0"/>
    <x v="0"/>
    <s v="L"/>
    <x v="2"/>
    <n v="27.484999999999996"/>
    <x v="187"/>
    <x v="0"/>
    <x v="1"/>
    <x v="1"/>
  </r>
  <r>
    <s v="BWZ-46364-547"/>
    <x v="301"/>
    <x v="589"/>
    <s v="R-L-1"/>
    <n v="3"/>
    <x v="589"/>
    <s v="ybasillht@theguardian.com"/>
    <x v="0"/>
    <x v="0"/>
    <s v="L"/>
    <x v="0"/>
    <n v="11.95"/>
    <x v="66"/>
    <x v="0"/>
    <x v="1"/>
    <x v="0"/>
  </r>
  <r>
    <s v="SBC-95710-706"/>
    <x v="194"/>
    <x v="590"/>
    <s v="E-M-0.2"/>
    <n v="2"/>
    <x v="590"/>
    <s v="mbaistowhu@i2i.jp"/>
    <x v="2"/>
    <x v="1"/>
    <s v="M"/>
    <x v="3"/>
    <n v="4.125"/>
    <x v="112"/>
    <x v="1"/>
    <x v="0"/>
    <x v="0"/>
  </r>
  <r>
    <s v="WRN-55114-031"/>
    <x v="26"/>
    <x v="591"/>
    <s v="E-L-2.5"/>
    <n v="3"/>
    <x v="591"/>
    <s v="cpallanthv@typepad.com"/>
    <x v="0"/>
    <x v="1"/>
    <s v="L"/>
    <x v="2"/>
    <n v="34.154999999999994"/>
    <x v="89"/>
    <x v="1"/>
    <x v="1"/>
    <x v="0"/>
  </r>
  <r>
    <s v="TZU-64255-831"/>
    <x v="125"/>
    <x v="592"/>
    <s v="R-D-2.5"/>
    <n v="2"/>
    <x v="592"/>
    <s v=""/>
    <x v="0"/>
    <x v="0"/>
    <s v="D"/>
    <x v="2"/>
    <n v="20.584999999999997"/>
    <x v="13"/>
    <x v="0"/>
    <x v="2"/>
    <x v="1"/>
  </r>
  <r>
    <s v="JVF-91003-729"/>
    <x v="492"/>
    <x v="593"/>
    <s v="A-D-2.5"/>
    <n v="3"/>
    <x v="593"/>
    <s v="dohx@redcross.org"/>
    <x v="0"/>
    <x v="2"/>
    <s v="D"/>
    <x v="2"/>
    <n v="22.884999999999998"/>
    <x v="96"/>
    <x v="2"/>
    <x v="2"/>
    <x v="0"/>
  </r>
  <r>
    <s v="MVB-22135-665"/>
    <x v="462"/>
    <x v="594"/>
    <s v="A-D-1"/>
    <n v="1"/>
    <x v="594"/>
    <s v="drallinhy@howstuffworks.com"/>
    <x v="0"/>
    <x v="2"/>
    <s v="D"/>
    <x v="0"/>
    <n v="9.9499999999999993"/>
    <x v="138"/>
    <x v="2"/>
    <x v="2"/>
    <x v="0"/>
  </r>
  <r>
    <s v="CKS-47815-571"/>
    <x v="493"/>
    <x v="595"/>
    <s v="L-L-0.5"/>
    <n v="3"/>
    <x v="595"/>
    <s v="achillhz@epa.gov"/>
    <x v="2"/>
    <x v="3"/>
    <s v="L"/>
    <x v="1"/>
    <n v="9.51"/>
    <x v="32"/>
    <x v="3"/>
    <x v="1"/>
    <x v="0"/>
  </r>
  <r>
    <s v="OAW-17338-101"/>
    <x v="494"/>
    <x v="588"/>
    <s v="R-D-0.2"/>
    <n v="6"/>
    <x v="588"/>
    <s v="tmathonneti0@google.co.jp"/>
    <x v="0"/>
    <x v="0"/>
    <s v="D"/>
    <x v="3"/>
    <n v="2.6849999999999996"/>
    <x v="103"/>
    <x v="0"/>
    <x v="2"/>
    <x v="1"/>
  </r>
  <r>
    <s v="ALP-37623-536"/>
    <x v="495"/>
    <x v="596"/>
    <s v="L-L-1"/>
    <n v="6"/>
    <x v="596"/>
    <s v="cdenysi1@is.gd"/>
    <x v="2"/>
    <x v="3"/>
    <s v="L"/>
    <x v="0"/>
    <n v="15.85"/>
    <x v="179"/>
    <x v="3"/>
    <x v="1"/>
    <x v="1"/>
  </r>
  <r>
    <s v="WMU-87639-108"/>
    <x v="496"/>
    <x v="597"/>
    <s v="R-D-0.5"/>
    <n v="1"/>
    <x v="597"/>
    <s v="cstebbingsi2@drupal.org"/>
    <x v="0"/>
    <x v="0"/>
    <s v="D"/>
    <x v="1"/>
    <n v="5.3699999999999992"/>
    <x v="147"/>
    <x v="0"/>
    <x v="2"/>
    <x v="0"/>
  </r>
  <r>
    <s v="USN-44968-231"/>
    <x v="497"/>
    <x v="598"/>
    <s v="R-L-1"/>
    <n v="4"/>
    <x v="598"/>
    <s v=""/>
    <x v="0"/>
    <x v="0"/>
    <s v="L"/>
    <x v="0"/>
    <n v="11.95"/>
    <x v="62"/>
    <x v="0"/>
    <x v="1"/>
    <x v="1"/>
  </r>
  <r>
    <s v="YZG-20575-451"/>
    <x v="498"/>
    <x v="599"/>
    <s v="L-L-1"/>
    <n v="4"/>
    <x v="599"/>
    <s v="rzywickii4@ifeng.com"/>
    <x v="1"/>
    <x v="3"/>
    <s v="L"/>
    <x v="0"/>
    <n v="15.85"/>
    <x v="165"/>
    <x v="3"/>
    <x v="1"/>
    <x v="1"/>
  </r>
  <r>
    <s v="HTH-52867-812"/>
    <x v="382"/>
    <x v="600"/>
    <s v="A-M-2.5"/>
    <n v="4"/>
    <x v="600"/>
    <s v="aburgetti5@moonfruit.com"/>
    <x v="0"/>
    <x v="2"/>
    <s v="M"/>
    <x v="2"/>
    <n v="25.874999999999996"/>
    <x v="68"/>
    <x v="2"/>
    <x v="0"/>
    <x v="1"/>
  </r>
  <r>
    <s v="FWU-44971-444"/>
    <x v="499"/>
    <x v="601"/>
    <s v="A-D-2.5"/>
    <n v="3"/>
    <x v="601"/>
    <s v="mmalloyi6@seattletimes.com"/>
    <x v="0"/>
    <x v="2"/>
    <s v="D"/>
    <x v="2"/>
    <n v="22.884999999999998"/>
    <x v="96"/>
    <x v="2"/>
    <x v="2"/>
    <x v="1"/>
  </r>
  <r>
    <s v="EQI-82205-066"/>
    <x v="500"/>
    <x v="602"/>
    <s v="R-M-2.5"/>
    <n v="2"/>
    <x v="602"/>
    <s v="mmcparlandi7@w3.org"/>
    <x v="0"/>
    <x v="0"/>
    <s v="M"/>
    <x v="2"/>
    <n v="22.884999999999998"/>
    <x v="135"/>
    <x v="0"/>
    <x v="0"/>
    <x v="0"/>
  </r>
  <r>
    <s v="NAR-00747-074"/>
    <x v="501"/>
    <x v="603"/>
    <s v="L-D-1"/>
    <n v="4"/>
    <x v="603"/>
    <s v="sjennaroyi8@purevolume.com"/>
    <x v="0"/>
    <x v="3"/>
    <s v="D"/>
    <x v="0"/>
    <n v="12.95"/>
    <x v="67"/>
    <x v="3"/>
    <x v="2"/>
    <x v="1"/>
  </r>
  <r>
    <s v="JYR-22052-185"/>
    <x v="502"/>
    <x v="604"/>
    <s v="A-M-0.5"/>
    <n v="2"/>
    <x v="604"/>
    <s v="wplacei9@wsj.com"/>
    <x v="0"/>
    <x v="2"/>
    <s v="M"/>
    <x v="1"/>
    <n v="6.75"/>
    <x v="72"/>
    <x v="2"/>
    <x v="0"/>
    <x v="0"/>
  </r>
  <r>
    <s v="XKO-54097-932"/>
    <x v="503"/>
    <x v="605"/>
    <s v="E-M-0.5"/>
    <n v="3"/>
    <x v="605"/>
    <s v="jmillettik@addtoany.com"/>
    <x v="0"/>
    <x v="1"/>
    <s v="M"/>
    <x v="1"/>
    <n v="8.25"/>
    <x v="167"/>
    <x v="1"/>
    <x v="0"/>
    <x v="0"/>
  </r>
  <r>
    <s v="HXA-72415-025"/>
    <x v="504"/>
    <x v="606"/>
    <s v="A-D-2.5"/>
    <n v="2"/>
    <x v="606"/>
    <s v="dgadsdenib@google.com.hk"/>
    <x v="1"/>
    <x v="2"/>
    <s v="D"/>
    <x v="2"/>
    <n v="22.884999999999998"/>
    <x v="135"/>
    <x v="2"/>
    <x v="2"/>
    <x v="0"/>
  </r>
  <r>
    <s v="MJF-20065-335"/>
    <x v="497"/>
    <x v="607"/>
    <s v="E-L-0.5"/>
    <n v="6"/>
    <x v="607"/>
    <s v="vwakelinic@unesco.org"/>
    <x v="0"/>
    <x v="1"/>
    <s v="L"/>
    <x v="1"/>
    <n v="8.91"/>
    <x v="119"/>
    <x v="1"/>
    <x v="1"/>
    <x v="1"/>
  </r>
  <r>
    <s v="GFI-83300-059"/>
    <x v="501"/>
    <x v="608"/>
    <s v="A-M-0.2"/>
    <n v="6"/>
    <x v="608"/>
    <s v="acampsallid@zimbio.com"/>
    <x v="0"/>
    <x v="2"/>
    <s v="M"/>
    <x v="3"/>
    <n v="3.375"/>
    <x v="16"/>
    <x v="2"/>
    <x v="0"/>
    <x v="0"/>
  </r>
  <r>
    <s v="WJR-51493-682"/>
    <x v="1"/>
    <x v="609"/>
    <s v="L-D-2.5"/>
    <n v="5"/>
    <x v="609"/>
    <s v="smosebyie@stanford.edu"/>
    <x v="0"/>
    <x v="3"/>
    <s v="D"/>
    <x v="2"/>
    <n v="29.784999999999997"/>
    <x v="74"/>
    <x v="3"/>
    <x v="2"/>
    <x v="1"/>
  </r>
  <r>
    <s v="SHP-55648-472"/>
    <x v="505"/>
    <x v="610"/>
    <s v="A-M-1"/>
    <n v="6"/>
    <x v="610"/>
    <s v="cwassif@prweb.com"/>
    <x v="0"/>
    <x v="2"/>
    <s v="M"/>
    <x v="0"/>
    <n v="11.25"/>
    <x v="173"/>
    <x v="2"/>
    <x v="0"/>
    <x v="1"/>
  </r>
  <r>
    <s v="HYR-03455-684"/>
    <x v="506"/>
    <x v="611"/>
    <s v="E-D-1"/>
    <n v="6"/>
    <x v="611"/>
    <s v="isjostromig@pbs.org"/>
    <x v="0"/>
    <x v="1"/>
    <s v="D"/>
    <x v="0"/>
    <n v="12.15"/>
    <x v="118"/>
    <x v="1"/>
    <x v="2"/>
    <x v="1"/>
  </r>
  <r>
    <s v="HYR-03455-684"/>
    <x v="506"/>
    <x v="611"/>
    <s v="L-D-0.2"/>
    <n v="2"/>
    <x v="611"/>
    <s v="isjostromig@pbs.org"/>
    <x v="0"/>
    <x v="3"/>
    <s v="D"/>
    <x v="3"/>
    <n v="3.8849999999999998"/>
    <x v="41"/>
    <x v="3"/>
    <x v="2"/>
    <x v="1"/>
  </r>
  <r>
    <s v="HUG-52766-375"/>
    <x v="507"/>
    <x v="612"/>
    <s v="A-D-2.5"/>
    <n v="4"/>
    <x v="612"/>
    <s v="jbranchettii@bravesites.com"/>
    <x v="0"/>
    <x v="2"/>
    <s v="D"/>
    <x v="2"/>
    <n v="22.884999999999998"/>
    <x v="21"/>
    <x v="2"/>
    <x v="2"/>
    <x v="1"/>
  </r>
  <r>
    <s v="DAH-46595-917"/>
    <x v="508"/>
    <x v="613"/>
    <s v="A-D-1"/>
    <n v="6"/>
    <x v="613"/>
    <s v="nrudlandij@blogs.com"/>
    <x v="1"/>
    <x v="2"/>
    <s v="D"/>
    <x v="0"/>
    <n v="9.9499999999999993"/>
    <x v="33"/>
    <x v="2"/>
    <x v="2"/>
    <x v="1"/>
  </r>
  <r>
    <s v="VEM-79839-466"/>
    <x v="509"/>
    <x v="605"/>
    <s v="R-L-2.5"/>
    <n v="5"/>
    <x v="605"/>
    <s v="jmillettik@addtoany.com"/>
    <x v="0"/>
    <x v="0"/>
    <s v="L"/>
    <x v="2"/>
    <n v="27.484999999999996"/>
    <x v="187"/>
    <x v="0"/>
    <x v="1"/>
    <x v="0"/>
  </r>
  <r>
    <s v="OWH-11126-533"/>
    <x v="131"/>
    <x v="614"/>
    <s v="L-M-2.5"/>
    <n v="2"/>
    <x v="614"/>
    <s v="ftourryil@google.de"/>
    <x v="0"/>
    <x v="3"/>
    <s v="M"/>
    <x v="2"/>
    <n v="33.464999999999996"/>
    <x v="174"/>
    <x v="3"/>
    <x v="0"/>
    <x v="1"/>
  </r>
  <r>
    <s v="UMT-26130-151"/>
    <x v="510"/>
    <x v="615"/>
    <s v="L-M-0.2"/>
    <n v="3"/>
    <x v="615"/>
    <s v="cweatherallim@toplist.cz"/>
    <x v="0"/>
    <x v="3"/>
    <s v="M"/>
    <x v="3"/>
    <n v="4.3650000000000002"/>
    <x v="73"/>
    <x v="3"/>
    <x v="0"/>
    <x v="0"/>
  </r>
  <r>
    <s v="JKA-27899-806"/>
    <x v="511"/>
    <x v="616"/>
    <s v="R-L-1"/>
    <n v="5"/>
    <x v="616"/>
    <s v="gheindrickin@usda.gov"/>
    <x v="0"/>
    <x v="0"/>
    <s v="L"/>
    <x v="0"/>
    <n v="11.95"/>
    <x v="143"/>
    <x v="0"/>
    <x v="1"/>
    <x v="1"/>
  </r>
  <r>
    <s v="ULU-07744-724"/>
    <x v="512"/>
    <x v="617"/>
    <s v="L-M-0.5"/>
    <n v="5"/>
    <x v="617"/>
    <s v="limasonio@discuz.net"/>
    <x v="0"/>
    <x v="3"/>
    <s v="M"/>
    <x v="1"/>
    <n v="8.73"/>
    <x v="34"/>
    <x v="3"/>
    <x v="0"/>
    <x v="0"/>
  </r>
  <r>
    <s v="NOM-56457-507"/>
    <x v="513"/>
    <x v="618"/>
    <s v="E-M-1"/>
    <n v="6"/>
    <x v="618"/>
    <s v="hsaillip@odnoklassniki.ru"/>
    <x v="0"/>
    <x v="1"/>
    <s v="M"/>
    <x v="0"/>
    <n v="13.75"/>
    <x v="121"/>
    <x v="1"/>
    <x v="0"/>
    <x v="0"/>
  </r>
  <r>
    <s v="NZN-71683-705"/>
    <x v="514"/>
    <x v="619"/>
    <s v="A-L-2.5"/>
    <n v="6"/>
    <x v="619"/>
    <s v="hlarvoriq@last.fm"/>
    <x v="0"/>
    <x v="2"/>
    <s v="L"/>
    <x v="2"/>
    <n v="29.784999999999997"/>
    <x v="39"/>
    <x v="2"/>
    <x v="1"/>
    <x v="0"/>
  </r>
  <r>
    <s v="WMA-34232-850"/>
    <x v="7"/>
    <x v="620"/>
    <s v="L-D-2.5"/>
    <n v="4"/>
    <x v="620"/>
    <s v=""/>
    <x v="0"/>
    <x v="3"/>
    <s v="D"/>
    <x v="2"/>
    <n v="29.784999999999997"/>
    <x v="129"/>
    <x v="3"/>
    <x v="2"/>
    <x v="0"/>
  </r>
  <r>
    <s v="EZL-27919-704"/>
    <x v="481"/>
    <x v="621"/>
    <s v="L-L-0.5"/>
    <n v="5"/>
    <x v="621"/>
    <s v=""/>
    <x v="0"/>
    <x v="3"/>
    <s v="L"/>
    <x v="1"/>
    <n v="9.51"/>
    <x v="46"/>
    <x v="3"/>
    <x v="1"/>
    <x v="1"/>
  </r>
  <r>
    <s v="ZYU-11345-774"/>
    <x v="515"/>
    <x v="622"/>
    <s v="L-M-0.5"/>
    <n v="5"/>
    <x v="622"/>
    <s v="cpenwardenit@mlb.com"/>
    <x v="1"/>
    <x v="3"/>
    <s v="M"/>
    <x v="1"/>
    <n v="8.73"/>
    <x v="34"/>
    <x v="3"/>
    <x v="0"/>
    <x v="1"/>
  </r>
  <r>
    <s v="CPW-34587-459"/>
    <x v="516"/>
    <x v="623"/>
    <s v="A-L-2.5"/>
    <n v="6"/>
    <x v="623"/>
    <s v="mmiddisiu@dmoz.org"/>
    <x v="0"/>
    <x v="2"/>
    <s v="L"/>
    <x v="2"/>
    <n v="29.784999999999997"/>
    <x v="39"/>
    <x v="2"/>
    <x v="1"/>
    <x v="0"/>
  </r>
  <r>
    <s v="NQZ-82067-394"/>
    <x v="517"/>
    <x v="624"/>
    <s v="R-L-2.5"/>
    <n v="1"/>
    <x v="624"/>
    <s v="avairowiv@studiopress.com"/>
    <x v="2"/>
    <x v="0"/>
    <s v="L"/>
    <x v="2"/>
    <n v="27.484999999999996"/>
    <x v="142"/>
    <x v="0"/>
    <x v="1"/>
    <x v="1"/>
  </r>
  <r>
    <s v="JBW-95055-851"/>
    <x v="518"/>
    <x v="625"/>
    <s v="A-M-1"/>
    <n v="5"/>
    <x v="625"/>
    <s v="agoldieiw@goo.gl"/>
    <x v="0"/>
    <x v="2"/>
    <s v="M"/>
    <x v="0"/>
    <n v="11.25"/>
    <x v="126"/>
    <x v="2"/>
    <x v="0"/>
    <x v="1"/>
  </r>
  <r>
    <s v="AHY-20324-088"/>
    <x v="519"/>
    <x v="626"/>
    <s v="L-L-0.2"/>
    <n v="2"/>
    <x v="626"/>
    <s v="nayrisix@t-online.de"/>
    <x v="2"/>
    <x v="3"/>
    <s v="L"/>
    <x v="3"/>
    <n v="4.7549999999999999"/>
    <x v="54"/>
    <x v="3"/>
    <x v="1"/>
    <x v="0"/>
  </r>
  <r>
    <s v="ZSL-66684-103"/>
    <x v="520"/>
    <x v="627"/>
    <s v="E-M-0.2"/>
    <n v="2"/>
    <x v="627"/>
    <s v="lbenediktovichiy@wunderground.com"/>
    <x v="0"/>
    <x v="1"/>
    <s v="M"/>
    <x v="3"/>
    <n v="4.125"/>
    <x v="112"/>
    <x v="1"/>
    <x v="0"/>
    <x v="0"/>
  </r>
  <r>
    <s v="WNE-73911-475"/>
    <x v="521"/>
    <x v="628"/>
    <s v="L-D-0.5"/>
    <n v="6"/>
    <x v="628"/>
    <s v="tjacobovitziz@cbc.ca"/>
    <x v="0"/>
    <x v="3"/>
    <s v="D"/>
    <x v="1"/>
    <n v="7.77"/>
    <x v="162"/>
    <x v="3"/>
    <x v="2"/>
    <x v="1"/>
  </r>
  <r>
    <s v="EZB-68383-559"/>
    <x v="418"/>
    <x v="629"/>
    <s v="R-L-1"/>
    <n v="6"/>
    <x v="629"/>
    <s v=""/>
    <x v="0"/>
    <x v="0"/>
    <s v="L"/>
    <x v="0"/>
    <n v="11.95"/>
    <x v="144"/>
    <x v="0"/>
    <x v="1"/>
    <x v="1"/>
  </r>
  <r>
    <s v="OVO-01283-090"/>
    <x v="122"/>
    <x v="630"/>
    <s v="L-L-2.5"/>
    <n v="2"/>
    <x v="630"/>
    <s v="jdruittj1@feedburner.com"/>
    <x v="0"/>
    <x v="3"/>
    <s v="L"/>
    <x v="2"/>
    <n v="36.454999999999998"/>
    <x v="37"/>
    <x v="3"/>
    <x v="1"/>
    <x v="0"/>
  </r>
  <r>
    <s v="TXH-78646-919"/>
    <x v="423"/>
    <x v="631"/>
    <s v="R-D-0.2"/>
    <n v="3"/>
    <x v="631"/>
    <s v="dshortallj2@wikipedia.org"/>
    <x v="0"/>
    <x v="0"/>
    <s v="D"/>
    <x v="3"/>
    <n v="2.6849999999999996"/>
    <x v="36"/>
    <x v="0"/>
    <x v="2"/>
    <x v="0"/>
  </r>
  <r>
    <s v="CYZ-37122-164"/>
    <x v="463"/>
    <x v="632"/>
    <s v="E-M-0.5"/>
    <n v="2"/>
    <x v="632"/>
    <s v="wcottierj3@cafepress.com"/>
    <x v="0"/>
    <x v="1"/>
    <s v="M"/>
    <x v="1"/>
    <n v="8.25"/>
    <x v="38"/>
    <x v="1"/>
    <x v="0"/>
    <x v="1"/>
  </r>
  <r>
    <s v="AGQ-06534-750"/>
    <x v="273"/>
    <x v="633"/>
    <s v="A-L-1"/>
    <n v="5"/>
    <x v="633"/>
    <s v="kgrinstedj4@google.com.br"/>
    <x v="1"/>
    <x v="2"/>
    <s v="L"/>
    <x v="0"/>
    <n v="12.95"/>
    <x v="188"/>
    <x v="2"/>
    <x v="1"/>
    <x v="1"/>
  </r>
  <r>
    <s v="QVL-32245-818"/>
    <x v="522"/>
    <x v="634"/>
    <s v="A-M-0.5"/>
    <n v="5"/>
    <x v="634"/>
    <s v="dskynerj5@hubpages.com"/>
    <x v="0"/>
    <x v="2"/>
    <s v="M"/>
    <x v="1"/>
    <n v="6.75"/>
    <x v="65"/>
    <x v="2"/>
    <x v="0"/>
    <x v="1"/>
  </r>
  <r>
    <s v="LTD-96842-834"/>
    <x v="523"/>
    <x v="635"/>
    <s v="L-D-2.5"/>
    <n v="6"/>
    <x v="635"/>
    <s v=""/>
    <x v="0"/>
    <x v="3"/>
    <s v="D"/>
    <x v="2"/>
    <n v="29.784999999999997"/>
    <x v="39"/>
    <x v="3"/>
    <x v="2"/>
    <x v="1"/>
  </r>
  <r>
    <s v="SEC-91807-425"/>
    <x v="260"/>
    <x v="636"/>
    <s v="A-M-1"/>
    <n v="2"/>
    <x v="636"/>
    <s v="jdymokeje@prnewswire.com"/>
    <x v="1"/>
    <x v="2"/>
    <s v="M"/>
    <x v="0"/>
    <n v="11.25"/>
    <x v="122"/>
    <x v="2"/>
    <x v="0"/>
    <x v="1"/>
  </r>
  <r>
    <s v="MHM-44857-599"/>
    <x v="331"/>
    <x v="637"/>
    <s v="L-D-1"/>
    <n v="1"/>
    <x v="637"/>
    <s v="aweinmannj8@shinystat.com"/>
    <x v="0"/>
    <x v="3"/>
    <s v="D"/>
    <x v="0"/>
    <n v="12.95"/>
    <x v="2"/>
    <x v="3"/>
    <x v="2"/>
    <x v="1"/>
  </r>
  <r>
    <s v="KGC-95046-911"/>
    <x v="524"/>
    <x v="638"/>
    <s v="A-M-2.5"/>
    <n v="2"/>
    <x v="638"/>
    <s v="eandriessenj9@europa.eu"/>
    <x v="0"/>
    <x v="2"/>
    <s v="M"/>
    <x v="2"/>
    <n v="25.874999999999996"/>
    <x v="95"/>
    <x v="2"/>
    <x v="0"/>
    <x v="0"/>
  </r>
  <r>
    <s v="RZC-75150-413"/>
    <x v="525"/>
    <x v="639"/>
    <s v="E-D-0.5"/>
    <n v="5"/>
    <x v="639"/>
    <s v="rdeaconsonja@archive.org"/>
    <x v="0"/>
    <x v="1"/>
    <s v="D"/>
    <x v="1"/>
    <n v="7.29"/>
    <x v="114"/>
    <x v="1"/>
    <x v="2"/>
    <x v="1"/>
  </r>
  <r>
    <s v="EYH-88288-452"/>
    <x v="526"/>
    <x v="640"/>
    <s v="L-L-2.5"/>
    <n v="5"/>
    <x v="640"/>
    <s v="dcarojb@twitter.com"/>
    <x v="0"/>
    <x v="3"/>
    <s v="L"/>
    <x v="2"/>
    <n v="36.454999999999998"/>
    <x v="134"/>
    <x v="3"/>
    <x v="1"/>
    <x v="0"/>
  </r>
  <r>
    <s v="NYQ-24237-772"/>
    <x v="104"/>
    <x v="641"/>
    <s v="L-D-0.5"/>
    <n v="4"/>
    <x v="641"/>
    <s v="jbluckjc@imageshack.us"/>
    <x v="0"/>
    <x v="3"/>
    <s v="D"/>
    <x v="1"/>
    <n v="7.77"/>
    <x v="113"/>
    <x v="3"/>
    <x v="2"/>
    <x v="1"/>
  </r>
  <r>
    <s v="WKB-21680-566"/>
    <x v="491"/>
    <x v="642"/>
    <s v="A-M-0.5"/>
    <n v="3"/>
    <x v="642"/>
    <s v=""/>
    <x v="1"/>
    <x v="2"/>
    <s v="M"/>
    <x v="1"/>
    <n v="6.75"/>
    <x v="16"/>
    <x v="2"/>
    <x v="0"/>
    <x v="1"/>
  </r>
  <r>
    <s v="THE-61147-027"/>
    <x v="157"/>
    <x v="636"/>
    <s v="L-D-1"/>
    <n v="2"/>
    <x v="636"/>
    <s v="jdymokeje@prnewswire.com"/>
    <x v="1"/>
    <x v="3"/>
    <s v="D"/>
    <x v="0"/>
    <n v="12.95"/>
    <x v="109"/>
    <x v="3"/>
    <x v="2"/>
    <x v="1"/>
  </r>
  <r>
    <s v="PTY-86420-119"/>
    <x v="527"/>
    <x v="643"/>
    <s v="A-D-0.5"/>
    <n v="4"/>
    <x v="643"/>
    <s v="otadmanjf@ft.com"/>
    <x v="0"/>
    <x v="2"/>
    <s v="D"/>
    <x v="1"/>
    <n v="5.97"/>
    <x v="86"/>
    <x v="2"/>
    <x v="2"/>
    <x v="0"/>
  </r>
  <r>
    <s v="QHL-27188-431"/>
    <x v="528"/>
    <x v="644"/>
    <s v="L-L-0.5"/>
    <n v="2"/>
    <x v="644"/>
    <s v="bguddejg@dailymotion.com"/>
    <x v="0"/>
    <x v="3"/>
    <s v="L"/>
    <x v="1"/>
    <n v="9.51"/>
    <x v="81"/>
    <x v="3"/>
    <x v="1"/>
    <x v="1"/>
  </r>
  <r>
    <s v="MIS-54381-047"/>
    <x v="99"/>
    <x v="645"/>
    <s v="A-D-0.5"/>
    <n v="5"/>
    <x v="645"/>
    <s v="nsictornesjh@buzzfeed.com"/>
    <x v="1"/>
    <x v="2"/>
    <s v="D"/>
    <x v="1"/>
    <n v="5.97"/>
    <x v="44"/>
    <x v="2"/>
    <x v="2"/>
    <x v="0"/>
  </r>
  <r>
    <s v="TBB-29780-459"/>
    <x v="529"/>
    <x v="646"/>
    <s v="A-L-0.5"/>
    <n v="1"/>
    <x v="646"/>
    <s v="vdunningji@independent.co.uk"/>
    <x v="0"/>
    <x v="2"/>
    <s v="L"/>
    <x v="1"/>
    <n v="7.77"/>
    <x v="41"/>
    <x v="2"/>
    <x v="1"/>
    <x v="0"/>
  </r>
  <r>
    <s v="QLC-52637-305"/>
    <x v="530"/>
    <x v="647"/>
    <s v="L-D-2.5"/>
    <n v="4"/>
    <x v="647"/>
    <s v=""/>
    <x v="1"/>
    <x v="3"/>
    <s v="D"/>
    <x v="2"/>
    <n v="29.784999999999997"/>
    <x v="129"/>
    <x v="3"/>
    <x v="2"/>
    <x v="0"/>
  </r>
  <r>
    <s v="CWT-27056-328"/>
    <x v="531"/>
    <x v="648"/>
    <s v="E-D-0.2"/>
    <n v="6"/>
    <x v="648"/>
    <s v=""/>
    <x v="0"/>
    <x v="1"/>
    <s v="D"/>
    <x v="3"/>
    <n v="3.645"/>
    <x v="6"/>
    <x v="1"/>
    <x v="2"/>
    <x v="0"/>
  </r>
  <r>
    <s v="ASS-05878-128"/>
    <x v="210"/>
    <x v="649"/>
    <s v="E-L-0.5"/>
    <n v="2"/>
    <x v="649"/>
    <s v="sgehringjl@gnu.org"/>
    <x v="0"/>
    <x v="1"/>
    <s v="L"/>
    <x v="1"/>
    <n v="8.91"/>
    <x v="58"/>
    <x v="1"/>
    <x v="1"/>
    <x v="1"/>
  </r>
  <r>
    <s v="EGK-03027-418"/>
    <x v="532"/>
    <x v="650"/>
    <s v="E-M-0.2"/>
    <n v="3"/>
    <x v="650"/>
    <s v="bfallowesjm@purevolume.com"/>
    <x v="0"/>
    <x v="1"/>
    <s v="M"/>
    <x v="3"/>
    <n v="4.125"/>
    <x v="24"/>
    <x v="1"/>
    <x v="0"/>
    <x v="1"/>
  </r>
  <r>
    <s v="KCY-61732-849"/>
    <x v="533"/>
    <x v="651"/>
    <s v="L-D-1"/>
    <n v="2"/>
    <x v="651"/>
    <s v=""/>
    <x v="1"/>
    <x v="3"/>
    <s v="D"/>
    <x v="0"/>
    <n v="12.95"/>
    <x v="109"/>
    <x v="3"/>
    <x v="2"/>
    <x v="1"/>
  </r>
  <r>
    <s v="BLI-21697-702"/>
    <x v="534"/>
    <x v="652"/>
    <s v="A-M-0.5"/>
    <n v="2"/>
    <x v="652"/>
    <s v="sdejo@newsvine.com"/>
    <x v="0"/>
    <x v="2"/>
    <s v="M"/>
    <x v="1"/>
    <n v="6.75"/>
    <x v="72"/>
    <x v="2"/>
    <x v="0"/>
    <x v="0"/>
  </r>
  <r>
    <s v="KFJ-46568-890"/>
    <x v="535"/>
    <x v="653"/>
    <s v="E-L-0.5"/>
    <n v="2"/>
    <x v="653"/>
    <s v=""/>
    <x v="0"/>
    <x v="1"/>
    <s v="L"/>
    <x v="1"/>
    <n v="8.91"/>
    <x v="58"/>
    <x v="1"/>
    <x v="1"/>
    <x v="0"/>
  </r>
  <r>
    <s v="SOK-43535-680"/>
    <x v="536"/>
    <x v="654"/>
    <s v="E-M-0.5"/>
    <n v="3"/>
    <x v="654"/>
    <s v="scountjq@nba.com"/>
    <x v="0"/>
    <x v="1"/>
    <s v="M"/>
    <x v="1"/>
    <n v="8.25"/>
    <x v="167"/>
    <x v="1"/>
    <x v="0"/>
    <x v="1"/>
  </r>
  <r>
    <s v="XUE-87260-201"/>
    <x v="537"/>
    <x v="655"/>
    <s v="R-M-0.2"/>
    <n v="6"/>
    <x v="655"/>
    <s v="sraglesjr@blogtalkradio.com"/>
    <x v="0"/>
    <x v="0"/>
    <s v="M"/>
    <x v="3"/>
    <n v="2.9849999999999999"/>
    <x v="8"/>
    <x v="0"/>
    <x v="0"/>
    <x v="1"/>
  </r>
  <r>
    <s v="CZF-40873-691"/>
    <x v="61"/>
    <x v="656"/>
    <s v="E-M-0.5"/>
    <n v="2"/>
    <x v="656"/>
    <s v=""/>
    <x v="2"/>
    <x v="1"/>
    <s v="M"/>
    <x v="1"/>
    <n v="8.25"/>
    <x v="38"/>
    <x v="1"/>
    <x v="0"/>
    <x v="1"/>
  </r>
  <r>
    <s v="AIA-98989-755"/>
    <x v="242"/>
    <x v="657"/>
    <s v="R-M-0.2"/>
    <n v="1"/>
    <x v="657"/>
    <s v="sbruunjt@blogtalkradio.com"/>
    <x v="0"/>
    <x v="0"/>
    <s v="M"/>
    <x v="3"/>
    <n v="2.9849999999999999"/>
    <x v="55"/>
    <x v="0"/>
    <x v="0"/>
    <x v="1"/>
  </r>
  <r>
    <s v="ITZ-21793-986"/>
    <x v="299"/>
    <x v="658"/>
    <s v="E-D-0.2"/>
    <n v="4"/>
    <x v="658"/>
    <s v="aplluju@dagondesign.com"/>
    <x v="1"/>
    <x v="1"/>
    <s v="D"/>
    <x v="3"/>
    <n v="3.645"/>
    <x v="20"/>
    <x v="1"/>
    <x v="2"/>
    <x v="0"/>
  </r>
  <r>
    <s v="YOK-93322-608"/>
    <x v="343"/>
    <x v="659"/>
    <s v="E-L-1"/>
    <n v="6"/>
    <x v="659"/>
    <s v="gcornierjv@techcrunch.com"/>
    <x v="0"/>
    <x v="1"/>
    <s v="L"/>
    <x v="0"/>
    <n v="14.85"/>
    <x v="146"/>
    <x v="1"/>
    <x v="1"/>
    <x v="1"/>
  </r>
  <r>
    <s v="LXK-00634-611"/>
    <x v="538"/>
    <x v="636"/>
    <s v="R-L-1"/>
    <n v="3"/>
    <x v="636"/>
    <s v="jdymokeje@prnewswire.com"/>
    <x v="1"/>
    <x v="0"/>
    <s v="L"/>
    <x v="0"/>
    <n v="11.95"/>
    <x v="66"/>
    <x v="0"/>
    <x v="1"/>
    <x v="1"/>
  </r>
  <r>
    <s v="CQW-37388-302"/>
    <x v="539"/>
    <x v="660"/>
    <s v="A-D-2.5"/>
    <n v="3"/>
    <x v="660"/>
    <s v="wharvisonjx@gizmodo.com"/>
    <x v="0"/>
    <x v="2"/>
    <s v="D"/>
    <x v="2"/>
    <n v="22.884999999999998"/>
    <x v="96"/>
    <x v="2"/>
    <x v="2"/>
    <x v="1"/>
  </r>
  <r>
    <s v="SPA-79365-334"/>
    <x v="27"/>
    <x v="661"/>
    <s v="L-D-1"/>
    <n v="3"/>
    <x v="661"/>
    <s v="dheafordjy@twitpic.com"/>
    <x v="0"/>
    <x v="3"/>
    <s v="D"/>
    <x v="0"/>
    <n v="12.95"/>
    <x v="5"/>
    <x v="3"/>
    <x v="2"/>
    <x v="1"/>
  </r>
  <r>
    <s v="VPX-08817-517"/>
    <x v="540"/>
    <x v="662"/>
    <s v="L-L-1"/>
    <n v="5"/>
    <x v="662"/>
    <s v="gfanthamjz@hexun.com"/>
    <x v="0"/>
    <x v="3"/>
    <s v="L"/>
    <x v="0"/>
    <n v="15.85"/>
    <x v="180"/>
    <x v="3"/>
    <x v="1"/>
    <x v="0"/>
  </r>
  <r>
    <s v="PBP-87115-410"/>
    <x v="541"/>
    <x v="663"/>
    <s v="E-D-0.5"/>
    <n v="5"/>
    <x v="663"/>
    <s v="rcrookshanksk0@unc.edu"/>
    <x v="0"/>
    <x v="1"/>
    <s v="D"/>
    <x v="1"/>
    <n v="7.29"/>
    <x v="114"/>
    <x v="1"/>
    <x v="2"/>
    <x v="0"/>
  </r>
  <r>
    <s v="SFB-93752-440"/>
    <x v="390"/>
    <x v="664"/>
    <s v="R-M-0.2"/>
    <n v="3"/>
    <x v="664"/>
    <s v="nleakek1@cmu.edu"/>
    <x v="0"/>
    <x v="0"/>
    <s v="M"/>
    <x v="3"/>
    <n v="2.9849999999999999"/>
    <x v="169"/>
    <x v="0"/>
    <x v="0"/>
    <x v="0"/>
  </r>
  <r>
    <s v="TBU-65158-068"/>
    <x v="396"/>
    <x v="665"/>
    <s v="E-D-1"/>
    <n v="2"/>
    <x v="665"/>
    <s v=""/>
    <x v="0"/>
    <x v="1"/>
    <s v="D"/>
    <x v="0"/>
    <n v="12.15"/>
    <x v="76"/>
    <x v="1"/>
    <x v="2"/>
    <x v="1"/>
  </r>
  <r>
    <s v="TEH-08414-216"/>
    <x v="185"/>
    <x v="666"/>
    <s v="E-M-2.5"/>
    <n v="2"/>
    <x v="666"/>
    <s v="geilhersenk3@networksolutions.com"/>
    <x v="0"/>
    <x v="1"/>
    <s v="M"/>
    <x v="2"/>
    <n v="31.624999999999996"/>
    <x v="40"/>
    <x v="1"/>
    <x v="0"/>
    <x v="1"/>
  </r>
  <r>
    <s v="MAY-77231-536"/>
    <x v="542"/>
    <x v="667"/>
    <s v="A-M-0.2"/>
    <n v="2"/>
    <x v="667"/>
    <s v=""/>
    <x v="0"/>
    <x v="2"/>
    <s v="M"/>
    <x v="3"/>
    <n v="3.375"/>
    <x v="52"/>
    <x v="2"/>
    <x v="0"/>
    <x v="0"/>
  </r>
  <r>
    <s v="ATY-28980-884"/>
    <x v="117"/>
    <x v="668"/>
    <s v="A-L-0.2"/>
    <n v="6"/>
    <x v="668"/>
    <s v="caleixok5@globo.com"/>
    <x v="0"/>
    <x v="2"/>
    <s v="L"/>
    <x v="3"/>
    <n v="3.8849999999999998"/>
    <x v="102"/>
    <x v="2"/>
    <x v="1"/>
    <x v="1"/>
  </r>
  <r>
    <s v="SWP-88281-918"/>
    <x v="543"/>
    <x v="669"/>
    <s v="L-L-2.5"/>
    <n v="4"/>
    <x v="669"/>
    <s v=""/>
    <x v="0"/>
    <x v="3"/>
    <s v="L"/>
    <x v="2"/>
    <n v="36.454999999999998"/>
    <x v="43"/>
    <x v="3"/>
    <x v="1"/>
    <x v="1"/>
  </r>
  <r>
    <s v="VCE-56531-986"/>
    <x v="544"/>
    <x v="670"/>
    <s v="R-M-0.5"/>
    <n v="5"/>
    <x v="670"/>
    <s v="rtomkowiczk7@bravesites.com"/>
    <x v="1"/>
    <x v="0"/>
    <s v="M"/>
    <x v="1"/>
    <n v="5.97"/>
    <x v="44"/>
    <x v="0"/>
    <x v="0"/>
    <x v="0"/>
  </r>
  <r>
    <s v="FVV-75700-005"/>
    <x v="545"/>
    <x v="671"/>
    <s v="E-D-0.5"/>
    <n v="3"/>
    <x v="671"/>
    <s v="rhuscroftk8@jimdo.com"/>
    <x v="0"/>
    <x v="1"/>
    <s v="D"/>
    <x v="1"/>
    <n v="7.29"/>
    <x v="6"/>
    <x v="1"/>
    <x v="2"/>
    <x v="0"/>
  </r>
  <r>
    <s v="CFZ-53492-600"/>
    <x v="546"/>
    <x v="672"/>
    <s v="L-M-0.2"/>
    <n v="1"/>
    <x v="672"/>
    <s v="sscurrerk9@flavors.me"/>
    <x v="2"/>
    <x v="3"/>
    <s v="M"/>
    <x v="3"/>
    <n v="4.3650000000000002"/>
    <x v="189"/>
    <x v="3"/>
    <x v="0"/>
    <x v="1"/>
  </r>
  <r>
    <s v="LDK-71031-121"/>
    <x v="420"/>
    <x v="673"/>
    <s v="L-L-2.5"/>
    <n v="1"/>
    <x v="673"/>
    <s v="arudramka@prnewswire.com"/>
    <x v="0"/>
    <x v="3"/>
    <s v="L"/>
    <x v="2"/>
    <n v="36.454999999999998"/>
    <x v="133"/>
    <x v="3"/>
    <x v="1"/>
    <x v="1"/>
  </r>
  <r>
    <s v="EBA-82404-343"/>
    <x v="547"/>
    <x v="674"/>
    <s v="L-D-0.2"/>
    <n v="4"/>
    <x v="674"/>
    <s v=""/>
    <x v="0"/>
    <x v="3"/>
    <s v="D"/>
    <x v="3"/>
    <n v="3.8849999999999998"/>
    <x v="42"/>
    <x v="3"/>
    <x v="2"/>
    <x v="0"/>
  </r>
  <r>
    <s v="USA-42811-560"/>
    <x v="548"/>
    <x v="675"/>
    <s v="E-L-0.2"/>
    <n v="2"/>
    <x v="675"/>
    <s v="jmahakc@cyberchimps.com"/>
    <x v="0"/>
    <x v="1"/>
    <s v="L"/>
    <x v="3"/>
    <n v="4.4550000000000001"/>
    <x v="161"/>
    <x v="1"/>
    <x v="1"/>
    <x v="1"/>
  </r>
  <r>
    <s v="SNL-83703-516"/>
    <x v="549"/>
    <x v="676"/>
    <s v="L-M-2.5"/>
    <n v="3"/>
    <x v="676"/>
    <s v="gclemonkd@networksolutions.com"/>
    <x v="0"/>
    <x v="3"/>
    <s v="M"/>
    <x v="2"/>
    <n v="33.464999999999996"/>
    <x v="64"/>
    <x v="3"/>
    <x v="0"/>
    <x v="0"/>
  </r>
  <r>
    <s v="SUZ-83036-175"/>
    <x v="550"/>
    <x v="677"/>
    <s v="R-D-0.2"/>
    <n v="5"/>
    <x v="677"/>
    <s v=""/>
    <x v="0"/>
    <x v="0"/>
    <s v="D"/>
    <x v="3"/>
    <n v="2.6849999999999996"/>
    <x v="148"/>
    <x v="0"/>
    <x v="2"/>
    <x v="1"/>
  </r>
  <r>
    <s v="RGM-01187-513"/>
    <x v="551"/>
    <x v="678"/>
    <s v="E-D-0.2"/>
    <n v="6"/>
    <x v="678"/>
    <s v="bpollinskf@shinystat.com"/>
    <x v="0"/>
    <x v="1"/>
    <s v="D"/>
    <x v="3"/>
    <n v="3.645"/>
    <x v="6"/>
    <x v="1"/>
    <x v="2"/>
    <x v="1"/>
  </r>
  <r>
    <s v="CZG-01299-952"/>
    <x v="552"/>
    <x v="679"/>
    <s v="L-D-1"/>
    <n v="2"/>
    <x v="679"/>
    <s v="jtoyekg@pinterest.com"/>
    <x v="1"/>
    <x v="3"/>
    <s v="D"/>
    <x v="0"/>
    <n v="12.95"/>
    <x v="109"/>
    <x v="3"/>
    <x v="2"/>
    <x v="0"/>
  </r>
  <r>
    <s v="KLD-88731-484"/>
    <x v="553"/>
    <x v="680"/>
    <s v="A-M-1"/>
    <n v="5"/>
    <x v="680"/>
    <s v="clinskillkh@sphinn.com"/>
    <x v="0"/>
    <x v="2"/>
    <s v="M"/>
    <x v="0"/>
    <n v="11.25"/>
    <x v="126"/>
    <x v="2"/>
    <x v="0"/>
    <x v="1"/>
  </r>
  <r>
    <s v="BQK-38412-229"/>
    <x v="554"/>
    <x v="681"/>
    <s v="R-L-0.2"/>
    <n v="3"/>
    <x v="681"/>
    <s v="nvigrasski@ezinearticles.com"/>
    <x v="2"/>
    <x v="0"/>
    <s v="L"/>
    <x v="3"/>
    <n v="3.5849999999999995"/>
    <x v="127"/>
    <x v="0"/>
    <x v="1"/>
    <x v="1"/>
  </r>
  <r>
    <s v="TCX-76953-071"/>
    <x v="555"/>
    <x v="636"/>
    <s v="E-D-0.2"/>
    <n v="5"/>
    <x v="636"/>
    <s v="jdymokeje@prnewswire.com"/>
    <x v="1"/>
    <x v="1"/>
    <s v="D"/>
    <x v="3"/>
    <n v="3.645"/>
    <x v="94"/>
    <x v="1"/>
    <x v="2"/>
    <x v="1"/>
  </r>
  <r>
    <s v="LIN-88046-551"/>
    <x v="150"/>
    <x v="682"/>
    <s v="R-L-0.5"/>
    <n v="4"/>
    <x v="682"/>
    <s v="kcragellkk@google.com"/>
    <x v="1"/>
    <x v="0"/>
    <s v="L"/>
    <x v="1"/>
    <n v="7.169999999999999"/>
    <x v="139"/>
    <x v="0"/>
    <x v="1"/>
    <x v="1"/>
  </r>
  <r>
    <s v="PMV-54491-220"/>
    <x v="556"/>
    <x v="683"/>
    <s v="L-M-0.2"/>
    <n v="2"/>
    <x v="683"/>
    <s v="libertkl@huffingtonpost.com"/>
    <x v="0"/>
    <x v="3"/>
    <s v="M"/>
    <x v="3"/>
    <n v="4.3650000000000002"/>
    <x v="31"/>
    <x v="3"/>
    <x v="0"/>
    <x v="1"/>
  </r>
  <r>
    <s v="SKA-73676-005"/>
    <x v="327"/>
    <x v="684"/>
    <s v="L-M-1"/>
    <n v="4"/>
    <x v="684"/>
    <s v="rlidgeykm@vimeo.com"/>
    <x v="0"/>
    <x v="3"/>
    <s v="M"/>
    <x v="0"/>
    <n v="14.55"/>
    <x v="125"/>
    <x v="3"/>
    <x v="0"/>
    <x v="1"/>
  </r>
  <r>
    <s v="TKH-62197-239"/>
    <x v="557"/>
    <x v="685"/>
    <s v="A-D-0.5"/>
    <n v="3"/>
    <x v="685"/>
    <s v="tcastagnekn@wikia.com"/>
    <x v="0"/>
    <x v="2"/>
    <s v="D"/>
    <x v="1"/>
    <n v="5.97"/>
    <x v="8"/>
    <x v="2"/>
    <x v="2"/>
    <x v="1"/>
  </r>
  <r>
    <s v="YXF-57218-272"/>
    <x v="333"/>
    <x v="686"/>
    <s v="R-M-0.2"/>
    <n v="6"/>
    <x v="686"/>
    <s v=""/>
    <x v="0"/>
    <x v="0"/>
    <s v="M"/>
    <x v="3"/>
    <n v="2.9849999999999999"/>
    <x v="8"/>
    <x v="0"/>
    <x v="0"/>
    <x v="0"/>
  </r>
  <r>
    <s v="PKJ-30083-501"/>
    <x v="558"/>
    <x v="687"/>
    <s v="E-D-0.5"/>
    <n v="2"/>
    <x v="687"/>
    <s v="jhaldenkp@comcast.net"/>
    <x v="1"/>
    <x v="1"/>
    <s v="D"/>
    <x v="1"/>
    <n v="7.29"/>
    <x v="20"/>
    <x v="1"/>
    <x v="2"/>
    <x v="1"/>
  </r>
  <r>
    <s v="WTT-91832-645"/>
    <x v="559"/>
    <x v="688"/>
    <s v="A-M-1"/>
    <n v="3"/>
    <x v="688"/>
    <s v="holliffkq@sciencedirect.com"/>
    <x v="1"/>
    <x v="2"/>
    <s v="M"/>
    <x v="0"/>
    <n v="11.25"/>
    <x v="65"/>
    <x v="2"/>
    <x v="0"/>
    <x v="1"/>
  </r>
  <r>
    <s v="TRZ-94735-865"/>
    <x v="310"/>
    <x v="689"/>
    <s v="L-M-0.5"/>
    <n v="4"/>
    <x v="689"/>
    <s v="tquadrikr@opensource.org"/>
    <x v="1"/>
    <x v="3"/>
    <s v="M"/>
    <x v="1"/>
    <n v="8.73"/>
    <x v="190"/>
    <x v="3"/>
    <x v="0"/>
    <x v="0"/>
  </r>
  <r>
    <s v="UDB-09651-780"/>
    <x v="560"/>
    <x v="690"/>
    <s v="E-D-0.5"/>
    <n v="2"/>
    <x v="690"/>
    <s v="feshmadeks@umn.edu"/>
    <x v="0"/>
    <x v="1"/>
    <s v="D"/>
    <x v="1"/>
    <n v="7.29"/>
    <x v="20"/>
    <x v="1"/>
    <x v="2"/>
    <x v="1"/>
  </r>
  <r>
    <s v="EHJ-82097-549"/>
    <x v="561"/>
    <x v="691"/>
    <s v="R-D-0.2"/>
    <n v="2"/>
    <x v="691"/>
    <s v="moilierkt@paginegialle.it"/>
    <x v="1"/>
    <x v="0"/>
    <s v="D"/>
    <x v="3"/>
    <n v="2.6849999999999996"/>
    <x v="147"/>
    <x v="0"/>
    <x v="2"/>
    <x v="0"/>
  </r>
  <r>
    <s v="ZFR-79447-696"/>
    <x v="562"/>
    <x v="692"/>
    <s v="R-M-0.5"/>
    <n v="1"/>
    <x v="692"/>
    <s v=""/>
    <x v="0"/>
    <x v="0"/>
    <s v="M"/>
    <x v="1"/>
    <n v="5.97"/>
    <x v="9"/>
    <x v="0"/>
    <x v="0"/>
    <x v="0"/>
  </r>
  <r>
    <s v="NUU-03893-975"/>
    <x v="563"/>
    <x v="693"/>
    <s v="L-L-0.5"/>
    <n v="2"/>
    <x v="693"/>
    <s v="vshoebothamkv@redcross.org"/>
    <x v="0"/>
    <x v="3"/>
    <s v="L"/>
    <x v="1"/>
    <n v="9.51"/>
    <x v="81"/>
    <x v="3"/>
    <x v="1"/>
    <x v="1"/>
  </r>
  <r>
    <s v="GVG-59542-307"/>
    <x v="564"/>
    <x v="694"/>
    <s v="E-M-1"/>
    <n v="2"/>
    <x v="694"/>
    <s v="bsterkekw@biblegateway.com"/>
    <x v="0"/>
    <x v="1"/>
    <s v="M"/>
    <x v="0"/>
    <n v="13.75"/>
    <x v="3"/>
    <x v="1"/>
    <x v="0"/>
    <x v="0"/>
  </r>
  <r>
    <s v="YLY-35287-172"/>
    <x v="565"/>
    <x v="695"/>
    <s v="A-D-0.5"/>
    <n v="5"/>
    <x v="695"/>
    <s v="scaponkx@craigslist.org"/>
    <x v="0"/>
    <x v="2"/>
    <s v="D"/>
    <x v="1"/>
    <n v="5.97"/>
    <x v="44"/>
    <x v="2"/>
    <x v="2"/>
    <x v="1"/>
  </r>
  <r>
    <s v="DCI-96254-548"/>
    <x v="566"/>
    <x v="636"/>
    <s v="A-D-0.2"/>
    <n v="6"/>
    <x v="636"/>
    <s v="jdymokeje@prnewswire.com"/>
    <x v="1"/>
    <x v="2"/>
    <s v="D"/>
    <x v="3"/>
    <n v="2.9849999999999999"/>
    <x v="8"/>
    <x v="2"/>
    <x v="2"/>
    <x v="1"/>
  </r>
  <r>
    <s v="KHZ-26264-253"/>
    <x v="160"/>
    <x v="696"/>
    <s v="L-L-0.2"/>
    <n v="6"/>
    <x v="696"/>
    <s v="fconstancekz@ifeng.com"/>
    <x v="0"/>
    <x v="3"/>
    <s v="L"/>
    <x v="3"/>
    <n v="4.7549999999999999"/>
    <x v="32"/>
    <x v="3"/>
    <x v="1"/>
    <x v="1"/>
  </r>
  <r>
    <s v="AAQ-13644-699"/>
    <x v="567"/>
    <x v="697"/>
    <s v="R-D-1"/>
    <n v="4"/>
    <x v="697"/>
    <s v="fsulmanl0@washington.edu"/>
    <x v="0"/>
    <x v="0"/>
    <s v="D"/>
    <x v="0"/>
    <n v="8.9499999999999993"/>
    <x v="191"/>
    <x v="0"/>
    <x v="2"/>
    <x v="0"/>
  </r>
  <r>
    <s v="LWL-68108-794"/>
    <x v="568"/>
    <x v="698"/>
    <s v="A-D-0.5"/>
    <n v="3"/>
    <x v="698"/>
    <s v="dhollymanl1@ibm.com"/>
    <x v="0"/>
    <x v="2"/>
    <s v="D"/>
    <x v="1"/>
    <n v="5.97"/>
    <x v="8"/>
    <x v="2"/>
    <x v="2"/>
    <x v="0"/>
  </r>
  <r>
    <s v="JQT-14347-517"/>
    <x v="569"/>
    <x v="699"/>
    <s v="R-D-1"/>
    <n v="1"/>
    <x v="699"/>
    <s v="lnardonil2@hao123.com"/>
    <x v="0"/>
    <x v="0"/>
    <s v="D"/>
    <x v="0"/>
    <n v="8.9499999999999993"/>
    <x v="192"/>
    <x v="0"/>
    <x v="2"/>
    <x v="1"/>
  </r>
  <r>
    <s v="BMM-86471-923"/>
    <x v="570"/>
    <x v="700"/>
    <s v="L-D-2.5"/>
    <n v="1"/>
    <x v="700"/>
    <s v="dyarhaml3@moonfruit.com"/>
    <x v="0"/>
    <x v="3"/>
    <s v="D"/>
    <x v="2"/>
    <n v="29.784999999999997"/>
    <x v="91"/>
    <x v="3"/>
    <x v="2"/>
    <x v="0"/>
  </r>
  <r>
    <s v="IXU-67272-326"/>
    <x v="571"/>
    <x v="701"/>
    <s v="E-L-0.5"/>
    <n v="5"/>
    <x v="701"/>
    <s v="aferreal4@wikia.com"/>
    <x v="0"/>
    <x v="1"/>
    <s v="L"/>
    <x v="1"/>
    <n v="8.91"/>
    <x v="69"/>
    <x v="1"/>
    <x v="1"/>
    <x v="1"/>
  </r>
  <r>
    <s v="ITE-28312-615"/>
    <x v="139"/>
    <x v="702"/>
    <s v="E-L-1"/>
    <n v="6"/>
    <x v="702"/>
    <s v="ckendrickl5@webnode.com"/>
    <x v="0"/>
    <x v="1"/>
    <s v="L"/>
    <x v="0"/>
    <n v="14.85"/>
    <x v="146"/>
    <x v="1"/>
    <x v="1"/>
    <x v="0"/>
  </r>
  <r>
    <s v="ZHQ-30471-635"/>
    <x v="303"/>
    <x v="703"/>
    <s v="L-M-0.5"/>
    <n v="5"/>
    <x v="703"/>
    <s v="sdanilchikl6@mit.edu"/>
    <x v="2"/>
    <x v="3"/>
    <s v="M"/>
    <x v="1"/>
    <n v="8.73"/>
    <x v="34"/>
    <x v="3"/>
    <x v="0"/>
    <x v="1"/>
  </r>
  <r>
    <s v="LTP-31133-134"/>
    <x v="572"/>
    <x v="704"/>
    <s v="A-L-0.5"/>
    <n v="3"/>
    <x v="704"/>
    <s v=""/>
    <x v="0"/>
    <x v="2"/>
    <s v="L"/>
    <x v="1"/>
    <n v="7.77"/>
    <x v="102"/>
    <x v="2"/>
    <x v="1"/>
    <x v="1"/>
  </r>
  <r>
    <s v="ZVQ-26122-859"/>
    <x v="573"/>
    <x v="705"/>
    <s v="A-L-2.5"/>
    <n v="6"/>
    <x v="705"/>
    <s v="bfolomkinl8@yolasite.com"/>
    <x v="0"/>
    <x v="2"/>
    <s v="L"/>
    <x v="2"/>
    <n v="29.784999999999997"/>
    <x v="39"/>
    <x v="2"/>
    <x v="1"/>
    <x v="0"/>
  </r>
  <r>
    <s v="MIU-01481-194"/>
    <x v="574"/>
    <x v="706"/>
    <s v="R-M-1"/>
    <n v="6"/>
    <x v="706"/>
    <s v="rpursglovel9@biblegateway.com"/>
    <x v="0"/>
    <x v="0"/>
    <s v="M"/>
    <x v="0"/>
    <n v="9.9499999999999993"/>
    <x v="33"/>
    <x v="0"/>
    <x v="0"/>
    <x v="0"/>
  </r>
  <r>
    <s v="MIU-01481-194"/>
    <x v="574"/>
    <x v="706"/>
    <s v="A-L-0.5"/>
    <n v="2"/>
    <x v="706"/>
    <s v="rpursglovel9@biblegateway.com"/>
    <x v="0"/>
    <x v="2"/>
    <s v="L"/>
    <x v="1"/>
    <n v="7.77"/>
    <x v="42"/>
    <x v="2"/>
    <x v="1"/>
    <x v="0"/>
  </r>
  <r>
    <s v="UEA-72681-629"/>
    <x v="455"/>
    <x v="696"/>
    <s v="A-L-2.5"/>
    <n v="3"/>
    <x v="696"/>
    <s v="fconstancekz@ifeng.com"/>
    <x v="0"/>
    <x v="2"/>
    <s v="L"/>
    <x v="2"/>
    <n v="29.784999999999997"/>
    <x v="49"/>
    <x v="2"/>
    <x v="1"/>
    <x v="1"/>
  </r>
  <r>
    <s v="CVE-15042-481"/>
    <x v="575"/>
    <x v="696"/>
    <s v="R-L-1"/>
    <n v="2"/>
    <x v="696"/>
    <s v="fconstancekz@ifeng.com"/>
    <x v="0"/>
    <x v="0"/>
    <s v="L"/>
    <x v="0"/>
    <n v="11.95"/>
    <x v="178"/>
    <x v="0"/>
    <x v="1"/>
    <x v="1"/>
  </r>
  <r>
    <s v="EJA-79176-833"/>
    <x v="576"/>
    <x v="707"/>
    <s v="R-M-2.5"/>
    <n v="6"/>
    <x v="707"/>
    <s v="deburahld@google.co.jp"/>
    <x v="2"/>
    <x v="0"/>
    <s v="M"/>
    <x v="2"/>
    <n v="22.884999999999998"/>
    <x v="170"/>
    <x v="0"/>
    <x v="0"/>
    <x v="1"/>
  </r>
  <r>
    <s v="AHQ-40440-522"/>
    <x v="577"/>
    <x v="708"/>
    <s v="A-D-1"/>
    <n v="1"/>
    <x v="708"/>
    <s v="mbrimilcombele@cnn.com"/>
    <x v="0"/>
    <x v="2"/>
    <s v="D"/>
    <x v="0"/>
    <n v="9.9499999999999993"/>
    <x v="138"/>
    <x v="2"/>
    <x v="2"/>
    <x v="1"/>
  </r>
  <r>
    <s v="TID-21626-411"/>
    <x v="578"/>
    <x v="709"/>
    <s v="R-L-0.5"/>
    <n v="3"/>
    <x v="709"/>
    <s v="sbollamlf@list-manage.com"/>
    <x v="0"/>
    <x v="0"/>
    <s v="L"/>
    <x v="1"/>
    <n v="7.169999999999999"/>
    <x v="137"/>
    <x v="0"/>
    <x v="1"/>
    <x v="1"/>
  </r>
  <r>
    <s v="RSR-96390-187"/>
    <x v="579"/>
    <x v="710"/>
    <s v="E-M-1"/>
    <n v="6"/>
    <x v="710"/>
    <s v=""/>
    <x v="0"/>
    <x v="1"/>
    <s v="M"/>
    <x v="0"/>
    <n v="13.75"/>
    <x v="121"/>
    <x v="1"/>
    <x v="0"/>
    <x v="1"/>
  </r>
  <r>
    <s v="BZE-96093-118"/>
    <x v="91"/>
    <x v="711"/>
    <s v="L-M-0.2"/>
    <n v="2"/>
    <x v="711"/>
    <s v="afilipczaklh@ning.com"/>
    <x v="1"/>
    <x v="3"/>
    <s v="M"/>
    <x v="3"/>
    <n v="4.3650000000000002"/>
    <x v="31"/>
    <x v="3"/>
    <x v="0"/>
    <x v="1"/>
  </r>
  <r>
    <s v="LOU-41819-242"/>
    <x v="272"/>
    <x v="712"/>
    <s v="R-M-1"/>
    <n v="2"/>
    <x v="712"/>
    <s v=""/>
    <x v="0"/>
    <x v="0"/>
    <s v="M"/>
    <x v="0"/>
    <n v="9.9499999999999993"/>
    <x v="0"/>
    <x v="0"/>
    <x v="0"/>
    <x v="0"/>
  </r>
  <r>
    <s v="FND-99527-640"/>
    <x v="65"/>
    <x v="713"/>
    <s v="E-L-0.5"/>
    <n v="2"/>
    <x v="713"/>
    <s v="relnaughlj@comsenz.com"/>
    <x v="0"/>
    <x v="1"/>
    <s v="L"/>
    <x v="1"/>
    <n v="8.91"/>
    <x v="58"/>
    <x v="1"/>
    <x v="1"/>
    <x v="0"/>
  </r>
  <r>
    <s v="ASG-27179-958"/>
    <x v="580"/>
    <x v="714"/>
    <s v="A-M-0.5"/>
    <n v="3"/>
    <x v="714"/>
    <s v="jdeehanlk@about.me"/>
    <x v="0"/>
    <x v="2"/>
    <s v="M"/>
    <x v="1"/>
    <n v="6.75"/>
    <x v="16"/>
    <x v="2"/>
    <x v="0"/>
    <x v="1"/>
  </r>
  <r>
    <s v="YKX-23510-272"/>
    <x v="581"/>
    <x v="715"/>
    <s v="A-L-2.5"/>
    <n v="2"/>
    <x v="715"/>
    <s v="jedenll@e-recht24.de"/>
    <x v="0"/>
    <x v="2"/>
    <s v="L"/>
    <x v="2"/>
    <n v="29.784999999999997"/>
    <x v="120"/>
    <x v="2"/>
    <x v="1"/>
    <x v="1"/>
  </r>
  <r>
    <s v="FSA-98650-921"/>
    <x v="489"/>
    <x v="716"/>
    <s v="L-L-0.5"/>
    <n v="2"/>
    <x v="716"/>
    <s v="cjewsterlu@moonfruit.com"/>
    <x v="0"/>
    <x v="3"/>
    <s v="L"/>
    <x v="1"/>
    <n v="9.51"/>
    <x v="81"/>
    <x v="3"/>
    <x v="1"/>
    <x v="0"/>
  </r>
  <r>
    <s v="ZUR-55774-294"/>
    <x v="234"/>
    <x v="717"/>
    <s v="L-D-1"/>
    <n v="6"/>
    <x v="717"/>
    <s v="usoutherdenln@hao123.com"/>
    <x v="0"/>
    <x v="3"/>
    <s v="D"/>
    <x v="0"/>
    <n v="12.95"/>
    <x v="17"/>
    <x v="3"/>
    <x v="2"/>
    <x v="0"/>
  </r>
  <r>
    <s v="FUO-99821-974"/>
    <x v="175"/>
    <x v="718"/>
    <s v="E-M-1"/>
    <n v="3"/>
    <x v="718"/>
    <s v=""/>
    <x v="0"/>
    <x v="1"/>
    <s v="M"/>
    <x v="0"/>
    <n v="13.75"/>
    <x v="1"/>
    <x v="1"/>
    <x v="0"/>
    <x v="1"/>
  </r>
  <r>
    <s v="YVH-19865-819"/>
    <x v="582"/>
    <x v="719"/>
    <s v="L-L-2.5"/>
    <n v="4"/>
    <x v="719"/>
    <s v="lburtenshawlp@shinystat.com"/>
    <x v="0"/>
    <x v="3"/>
    <s v="L"/>
    <x v="2"/>
    <n v="36.454999999999998"/>
    <x v="43"/>
    <x v="3"/>
    <x v="1"/>
    <x v="1"/>
  </r>
  <r>
    <s v="NNF-47422-501"/>
    <x v="583"/>
    <x v="720"/>
    <s v="E-L-0.2"/>
    <n v="6"/>
    <x v="720"/>
    <s v="agregorattilq@vistaprint.com"/>
    <x v="1"/>
    <x v="1"/>
    <s v="L"/>
    <x v="3"/>
    <n v="4.4550000000000001"/>
    <x v="149"/>
    <x v="1"/>
    <x v="1"/>
    <x v="1"/>
  </r>
  <r>
    <s v="RJI-71409-490"/>
    <x v="548"/>
    <x v="721"/>
    <s v="L-M-0.5"/>
    <n v="5"/>
    <x v="721"/>
    <s v="ccrosterlr@gov.uk"/>
    <x v="0"/>
    <x v="3"/>
    <s v="M"/>
    <x v="1"/>
    <n v="8.73"/>
    <x v="34"/>
    <x v="3"/>
    <x v="0"/>
    <x v="0"/>
  </r>
  <r>
    <s v="UZL-46108-213"/>
    <x v="584"/>
    <x v="722"/>
    <s v="L-L-1"/>
    <n v="2"/>
    <x v="722"/>
    <s v="gwhiteheadls@hp.com"/>
    <x v="0"/>
    <x v="3"/>
    <s v="L"/>
    <x v="0"/>
    <n v="15.85"/>
    <x v="124"/>
    <x v="3"/>
    <x v="1"/>
    <x v="1"/>
  </r>
  <r>
    <s v="AOX-44467-109"/>
    <x v="64"/>
    <x v="723"/>
    <s v="A-D-2.5"/>
    <n v="1"/>
    <x v="723"/>
    <s v="hjodrellelt@samsung.com"/>
    <x v="0"/>
    <x v="2"/>
    <s v="D"/>
    <x v="2"/>
    <n v="22.884999999999998"/>
    <x v="156"/>
    <x v="2"/>
    <x v="2"/>
    <x v="1"/>
  </r>
  <r>
    <s v="TZD-67261-174"/>
    <x v="585"/>
    <x v="716"/>
    <s v="E-D-2.5"/>
    <n v="1"/>
    <x v="716"/>
    <s v="cjewsterlu@moonfruit.com"/>
    <x v="0"/>
    <x v="1"/>
    <s v="D"/>
    <x v="2"/>
    <n v="27.945"/>
    <x v="140"/>
    <x v="1"/>
    <x v="2"/>
    <x v="0"/>
  </r>
  <r>
    <s v="TBU-64277-625"/>
    <x v="32"/>
    <x v="724"/>
    <s v="E-M-1"/>
    <n v="6"/>
    <x v="724"/>
    <s v=""/>
    <x v="0"/>
    <x v="1"/>
    <s v="M"/>
    <x v="0"/>
    <n v="13.75"/>
    <x v="121"/>
    <x v="1"/>
    <x v="0"/>
    <x v="0"/>
  </r>
  <r>
    <s v="TYP-85767-944"/>
    <x v="586"/>
    <x v="725"/>
    <s v="R-M-2.5"/>
    <n v="2"/>
    <x v="725"/>
    <s v="knottramlw@odnoklassniki.ru"/>
    <x v="1"/>
    <x v="0"/>
    <s v="M"/>
    <x v="2"/>
    <n v="22.884999999999998"/>
    <x v="135"/>
    <x v="0"/>
    <x v="0"/>
    <x v="0"/>
  </r>
  <r>
    <s v="GTT-73214-334"/>
    <x v="535"/>
    <x v="726"/>
    <s v="A-L-1"/>
    <n v="6"/>
    <x v="726"/>
    <s v="nbuneylx@jugem.jp"/>
    <x v="0"/>
    <x v="2"/>
    <s v="L"/>
    <x v="0"/>
    <n v="12.95"/>
    <x v="17"/>
    <x v="2"/>
    <x v="1"/>
    <x v="1"/>
  </r>
  <r>
    <s v="WAI-89905-069"/>
    <x v="587"/>
    <x v="727"/>
    <s v="A-L-0.5"/>
    <n v="3"/>
    <x v="727"/>
    <s v="smcshealy@photobucket.com"/>
    <x v="0"/>
    <x v="2"/>
    <s v="L"/>
    <x v="1"/>
    <n v="7.77"/>
    <x v="102"/>
    <x v="2"/>
    <x v="1"/>
    <x v="1"/>
  </r>
  <r>
    <s v="OJL-96844-459"/>
    <x v="393"/>
    <x v="728"/>
    <s v="L-L-0.2"/>
    <n v="5"/>
    <x v="728"/>
    <s v="khuddartlz@about.com"/>
    <x v="0"/>
    <x v="3"/>
    <s v="L"/>
    <x v="3"/>
    <n v="4.7549999999999999"/>
    <x v="29"/>
    <x v="3"/>
    <x v="1"/>
    <x v="0"/>
  </r>
  <r>
    <s v="VGI-33205-360"/>
    <x v="588"/>
    <x v="729"/>
    <s v="L-M-0.5"/>
    <n v="6"/>
    <x v="729"/>
    <s v="jgippesm0@cloudflare.com"/>
    <x v="2"/>
    <x v="3"/>
    <s v="M"/>
    <x v="1"/>
    <n v="8.73"/>
    <x v="28"/>
    <x v="3"/>
    <x v="0"/>
    <x v="0"/>
  </r>
  <r>
    <s v="PCA-14081-576"/>
    <x v="15"/>
    <x v="730"/>
    <s v="R-L-0.2"/>
    <n v="5"/>
    <x v="730"/>
    <s v="lwhittleseem1@e-recht24.de"/>
    <x v="0"/>
    <x v="0"/>
    <s v="L"/>
    <x v="3"/>
    <n v="3.5849999999999995"/>
    <x v="131"/>
    <x v="0"/>
    <x v="1"/>
    <x v="1"/>
  </r>
  <r>
    <s v="SCS-67069-962"/>
    <x v="507"/>
    <x v="731"/>
    <s v="A-L-2.5"/>
    <n v="5"/>
    <x v="731"/>
    <s v="gtrengrovem2@elpais.com"/>
    <x v="0"/>
    <x v="2"/>
    <s v="L"/>
    <x v="2"/>
    <n v="29.784999999999997"/>
    <x v="74"/>
    <x v="2"/>
    <x v="1"/>
    <x v="1"/>
  </r>
  <r>
    <s v="BDM-03174-485"/>
    <x v="533"/>
    <x v="732"/>
    <s v="R-L-0.5"/>
    <n v="4"/>
    <x v="732"/>
    <s v="wcalderom3@stumbleupon.com"/>
    <x v="0"/>
    <x v="0"/>
    <s v="L"/>
    <x v="1"/>
    <n v="7.169999999999999"/>
    <x v="139"/>
    <x v="0"/>
    <x v="1"/>
    <x v="1"/>
  </r>
  <r>
    <s v="UJV-32333-364"/>
    <x v="589"/>
    <x v="733"/>
    <s v="L-L-0.5"/>
    <n v="1"/>
    <x v="733"/>
    <s v=""/>
    <x v="0"/>
    <x v="3"/>
    <s v="L"/>
    <x v="1"/>
    <n v="9.51"/>
    <x v="54"/>
    <x v="3"/>
    <x v="1"/>
    <x v="1"/>
  </r>
  <r>
    <s v="FLI-11493-954"/>
    <x v="590"/>
    <x v="734"/>
    <s v="A-L-0.5"/>
    <n v="4"/>
    <x v="734"/>
    <s v="jkennicottm5@yahoo.co.jp"/>
    <x v="0"/>
    <x v="2"/>
    <s v="L"/>
    <x v="1"/>
    <n v="7.77"/>
    <x v="113"/>
    <x v="2"/>
    <x v="1"/>
    <x v="1"/>
  </r>
  <r>
    <s v="IWL-13117-537"/>
    <x v="457"/>
    <x v="735"/>
    <s v="R-D-0.2"/>
    <n v="3"/>
    <x v="735"/>
    <s v="gruggenm6@nymag.com"/>
    <x v="0"/>
    <x v="0"/>
    <s v="D"/>
    <x v="3"/>
    <n v="2.6849999999999996"/>
    <x v="36"/>
    <x v="0"/>
    <x v="2"/>
    <x v="0"/>
  </r>
  <r>
    <s v="OAM-76916-748"/>
    <x v="591"/>
    <x v="736"/>
    <s v="E-D-1"/>
    <n v="3"/>
    <x v="736"/>
    <s v=""/>
    <x v="0"/>
    <x v="1"/>
    <s v="D"/>
    <x v="0"/>
    <n v="12.15"/>
    <x v="114"/>
    <x v="1"/>
    <x v="2"/>
    <x v="0"/>
  </r>
  <r>
    <s v="UMB-11223-710"/>
    <x v="592"/>
    <x v="737"/>
    <s v="R-D-0.2"/>
    <n v="6"/>
    <x v="737"/>
    <s v="mfrightm8@harvard.edu"/>
    <x v="1"/>
    <x v="0"/>
    <s v="D"/>
    <x v="3"/>
    <n v="2.6849999999999996"/>
    <x v="103"/>
    <x v="0"/>
    <x v="2"/>
    <x v="1"/>
  </r>
  <r>
    <s v="LXR-09892-726"/>
    <x v="402"/>
    <x v="738"/>
    <s v="R-D-2.5"/>
    <n v="2"/>
    <x v="738"/>
    <s v="btartem9@aol.com"/>
    <x v="0"/>
    <x v="0"/>
    <s v="D"/>
    <x v="2"/>
    <n v="20.584999999999997"/>
    <x v="13"/>
    <x v="0"/>
    <x v="2"/>
    <x v="0"/>
  </r>
  <r>
    <s v="QXX-89943-393"/>
    <x v="593"/>
    <x v="739"/>
    <s v="R-D-0.2"/>
    <n v="4"/>
    <x v="739"/>
    <s v="ckrzysztofiakma@skyrock.com"/>
    <x v="0"/>
    <x v="0"/>
    <s v="D"/>
    <x v="3"/>
    <n v="2.6849999999999996"/>
    <x v="175"/>
    <x v="0"/>
    <x v="2"/>
    <x v="1"/>
  </r>
  <r>
    <s v="WVS-57822-366"/>
    <x v="594"/>
    <x v="740"/>
    <s v="E-M-2.5"/>
    <n v="4"/>
    <x v="740"/>
    <s v="dpenquetmb@diigo.com"/>
    <x v="0"/>
    <x v="1"/>
    <s v="M"/>
    <x v="2"/>
    <n v="31.624999999999996"/>
    <x v="177"/>
    <x v="1"/>
    <x v="0"/>
    <x v="1"/>
  </r>
  <r>
    <s v="CLJ-23403-689"/>
    <x v="77"/>
    <x v="741"/>
    <s v="R-L-1"/>
    <n v="2"/>
    <x v="741"/>
    <s v=""/>
    <x v="2"/>
    <x v="0"/>
    <s v="L"/>
    <x v="0"/>
    <n v="11.95"/>
    <x v="178"/>
    <x v="0"/>
    <x v="1"/>
    <x v="1"/>
  </r>
  <r>
    <s v="XNU-83276-288"/>
    <x v="595"/>
    <x v="742"/>
    <s v="R-M-0.5"/>
    <n v="1"/>
    <x v="742"/>
    <s v=""/>
    <x v="0"/>
    <x v="0"/>
    <s v="M"/>
    <x v="1"/>
    <n v="5.97"/>
    <x v="9"/>
    <x v="0"/>
    <x v="0"/>
    <x v="1"/>
  </r>
  <r>
    <s v="YOG-94666-679"/>
    <x v="596"/>
    <x v="743"/>
    <s v="L-D-0.2"/>
    <n v="2"/>
    <x v="743"/>
    <s v=""/>
    <x v="2"/>
    <x v="3"/>
    <s v="D"/>
    <x v="3"/>
    <n v="3.8849999999999998"/>
    <x v="41"/>
    <x v="3"/>
    <x v="2"/>
    <x v="0"/>
  </r>
  <r>
    <s v="KHG-33953-115"/>
    <x v="514"/>
    <x v="744"/>
    <s v="L-D-0.5"/>
    <n v="3"/>
    <x v="744"/>
    <s v="kferrettimf@huffingtonpost.com"/>
    <x v="1"/>
    <x v="3"/>
    <s v="D"/>
    <x v="1"/>
    <n v="7.77"/>
    <x v="102"/>
    <x v="3"/>
    <x v="2"/>
    <x v="1"/>
  </r>
  <r>
    <s v="MHD-95615-696"/>
    <x v="54"/>
    <x v="745"/>
    <s v="R-L-2.5"/>
    <n v="5"/>
    <x v="745"/>
    <s v=""/>
    <x v="0"/>
    <x v="0"/>
    <s v="L"/>
    <x v="2"/>
    <n v="27.484999999999996"/>
    <x v="187"/>
    <x v="0"/>
    <x v="1"/>
    <x v="1"/>
  </r>
  <r>
    <s v="HBH-64794-080"/>
    <x v="597"/>
    <x v="746"/>
    <s v="R-D-0.2"/>
    <n v="3"/>
    <x v="746"/>
    <s v=""/>
    <x v="0"/>
    <x v="0"/>
    <s v="D"/>
    <x v="3"/>
    <n v="2.6849999999999996"/>
    <x v="36"/>
    <x v="0"/>
    <x v="2"/>
    <x v="0"/>
  </r>
  <r>
    <s v="CNJ-56058-223"/>
    <x v="105"/>
    <x v="747"/>
    <s v="L-L-0.5"/>
    <n v="3"/>
    <x v="747"/>
    <s v="abalsdonemi@toplist.cz"/>
    <x v="0"/>
    <x v="3"/>
    <s v="L"/>
    <x v="1"/>
    <n v="9.51"/>
    <x v="32"/>
    <x v="3"/>
    <x v="1"/>
    <x v="1"/>
  </r>
  <r>
    <s v="KHO-27106-786"/>
    <x v="210"/>
    <x v="748"/>
    <s v="A-M-1"/>
    <n v="6"/>
    <x v="748"/>
    <s v="bromeramj@list-manage.com"/>
    <x v="1"/>
    <x v="2"/>
    <s v="M"/>
    <x v="0"/>
    <n v="11.25"/>
    <x v="173"/>
    <x v="2"/>
    <x v="0"/>
    <x v="0"/>
  </r>
  <r>
    <s v="KHO-27106-786"/>
    <x v="210"/>
    <x v="748"/>
    <s v="L-D-2.5"/>
    <n v="6"/>
    <x v="748"/>
    <s v="bromeramj@list-manage.com"/>
    <x v="1"/>
    <x v="3"/>
    <s v="D"/>
    <x v="2"/>
    <n v="29.784999999999997"/>
    <x v="39"/>
    <x v="3"/>
    <x v="2"/>
    <x v="0"/>
  </r>
  <r>
    <s v="YAC-50329-982"/>
    <x v="598"/>
    <x v="749"/>
    <s v="E-M-2.5"/>
    <n v="1"/>
    <x v="749"/>
    <s v="cbrydeml@tuttocitta.it"/>
    <x v="0"/>
    <x v="1"/>
    <s v="M"/>
    <x v="2"/>
    <n v="31.624999999999996"/>
    <x v="176"/>
    <x v="1"/>
    <x v="0"/>
    <x v="0"/>
  </r>
  <r>
    <s v="VVL-95291-039"/>
    <x v="360"/>
    <x v="750"/>
    <s v="E-L-0.2"/>
    <n v="2"/>
    <x v="750"/>
    <s v="senefermm@blog.com"/>
    <x v="0"/>
    <x v="1"/>
    <s v="L"/>
    <x v="3"/>
    <n v="4.4550000000000001"/>
    <x v="161"/>
    <x v="1"/>
    <x v="1"/>
    <x v="1"/>
  </r>
  <r>
    <s v="VUT-20974-364"/>
    <x v="62"/>
    <x v="751"/>
    <s v="R-M-0.5"/>
    <n v="6"/>
    <x v="751"/>
    <s v="lhaggerstonemn@independent.co.uk"/>
    <x v="0"/>
    <x v="0"/>
    <s v="M"/>
    <x v="1"/>
    <n v="5.97"/>
    <x v="27"/>
    <x v="0"/>
    <x v="0"/>
    <x v="1"/>
  </r>
  <r>
    <s v="SFC-34054-213"/>
    <x v="599"/>
    <x v="752"/>
    <s v="L-L-0.5"/>
    <n v="4"/>
    <x v="752"/>
    <s v="mgundrymo@omniture.com"/>
    <x v="1"/>
    <x v="3"/>
    <s v="L"/>
    <x v="1"/>
    <n v="9.51"/>
    <x v="82"/>
    <x v="3"/>
    <x v="1"/>
    <x v="1"/>
  </r>
  <r>
    <s v="UDS-04807-593"/>
    <x v="600"/>
    <x v="753"/>
    <s v="L-D-0.5"/>
    <n v="2"/>
    <x v="753"/>
    <s v="bwellanmp@cafepress.com"/>
    <x v="0"/>
    <x v="3"/>
    <s v="D"/>
    <x v="1"/>
    <n v="7.77"/>
    <x v="42"/>
    <x v="3"/>
    <x v="2"/>
    <x v="1"/>
  </r>
  <r>
    <s v="FWE-98471-488"/>
    <x v="601"/>
    <x v="745"/>
    <s v="L-L-1"/>
    <n v="5"/>
    <x v="745"/>
    <s v=""/>
    <x v="0"/>
    <x v="3"/>
    <s v="L"/>
    <x v="0"/>
    <n v="15.85"/>
    <x v="180"/>
    <x v="3"/>
    <x v="1"/>
    <x v="1"/>
  </r>
  <r>
    <s v="RAU-17060-674"/>
    <x v="602"/>
    <x v="754"/>
    <s v="L-L-0.2"/>
    <n v="1"/>
    <x v="754"/>
    <s v="catchesonmr@xinhuanet.com"/>
    <x v="0"/>
    <x v="3"/>
    <s v="L"/>
    <x v="3"/>
    <n v="4.7549999999999999"/>
    <x v="7"/>
    <x v="3"/>
    <x v="1"/>
    <x v="0"/>
  </r>
  <r>
    <s v="AOL-13866-711"/>
    <x v="603"/>
    <x v="755"/>
    <s v="E-M-1"/>
    <n v="4"/>
    <x v="755"/>
    <s v="estentonms@google.it"/>
    <x v="0"/>
    <x v="1"/>
    <s v="M"/>
    <x v="0"/>
    <n v="13.75"/>
    <x v="193"/>
    <x v="1"/>
    <x v="0"/>
    <x v="0"/>
  </r>
  <r>
    <s v="NOA-79645-377"/>
    <x v="604"/>
    <x v="756"/>
    <s v="R-D-0.5"/>
    <n v="5"/>
    <x v="756"/>
    <s v="etrippmt@wp.com"/>
    <x v="0"/>
    <x v="0"/>
    <s v="D"/>
    <x v="1"/>
    <n v="5.3699999999999992"/>
    <x v="51"/>
    <x v="0"/>
    <x v="2"/>
    <x v="1"/>
  </r>
  <r>
    <s v="KMS-49214-806"/>
    <x v="605"/>
    <x v="757"/>
    <s v="E-L-2.5"/>
    <n v="4"/>
    <x v="757"/>
    <s v="lmacmanusmu@imdb.com"/>
    <x v="0"/>
    <x v="1"/>
    <s v="L"/>
    <x v="2"/>
    <n v="34.154999999999994"/>
    <x v="56"/>
    <x v="1"/>
    <x v="1"/>
    <x v="1"/>
  </r>
  <r>
    <s v="ABK-08091-531"/>
    <x v="606"/>
    <x v="758"/>
    <s v="L-L-1"/>
    <n v="3"/>
    <x v="758"/>
    <s v="tbenediktovichmv@ebay.com"/>
    <x v="0"/>
    <x v="3"/>
    <s v="L"/>
    <x v="0"/>
    <n v="15.85"/>
    <x v="46"/>
    <x v="3"/>
    <x v="1"/>
    <x v="0"/>
  </r>
  <r>
    <s v="GPT-67705-953"/>
    <x v="446"/>
    <x v="759"/>
    <s v="A-M-0.2"/>
    <n v="5"/>
    <x v="759"/>
    <s v="cbournermw@chronoengine.com"/>
    <x v="0"/>
    <x v="2"/>
    <s v="M"/>
    <x v="3"/>
    <n v="3.375"/>
    <x v="19"/>
    <x v="2"/>
    <x v="0"/>
    <x v="0"/>
  </r>
  <r>
    <s v="JNA-21450-177"/>
    <x v="18"/>
    <x v="760"/>
    <s v="A-D-1"/>
    <n v="3"/>
    <x v="760"/>
    <s v="oskermen3@hatena.ne.jp"/>
    <x v="0"/>
    <x v="2"/>
    <s v="D"/>
    <x v="0"/>
    <n v="9.9499999999999993"/>
    <x v="44"/>
    <x v="2"/>
    <x v="2"/>
    <x v="0"/>
  </r>
  <r>
    <s v="MPQ-23421-608"/>
    <x v="180"/>
    <x v="761"/>
    <s v="E-M-0.5"/>
    <n v="5"/>
    <x v="761"/>
    <s v="kheddanmy@icq.com"/>
    <x v="0"/>
    <x v="1"/>
    <s v="M"/>
    <x v="1"/>
    <n v="8.25"/>
    <x v="1"/>
    <x v="1"/>
    <x v="0"/>
    <x v="0"/>
  </r>
  <r>
    <s v="NLI-63891-565"/>
    <x v="580"/>
    <x v="762"/>
    <s v="E-M-0.2"/>
    <n v="5"/>
    <x v="762"/>
    <s v="ichartersmz@abc.net.au"/>
    <x v="0"/>
    <x v="1"/>
    <s v="M"/>
    <x v="3"/>
    <n v="4.125"/>
    <x v="132"/>
    <x v="1"/>
    <x v="0"/>
    <x v="1"/>
  </r>
  <r>
    <s v="HHF-36647-854"/>
    <x v="453"/>
    <x v="763"/>
    <s v="A-D-2.5"/>
    <n v="6"/>
    <x v="763"/>
    <s v="aroubertn0@tmall.com"/>
    <x v="0"/>
    <x v="2"/>
    <s v="D"/>
    <x v="2"/>
    <n v="22.884999999999998"/>
    <x v="170"/>
    <x v="2"/>
    <x v="2"/>
    <x v="0"/>
  </r>
  <r>
    <s v="SBN-16537-046"/>
    <x v="259"/>
    <x v="764"/>
    <s v="A-D-0.2"/>
    <n v="1"/>
    <x v="764"/>
    <s v="hmairsn1@so-net.ne.jp"/>
    <x v="0"/>
    <x v="2"/>
    <s v="D"/>
    <x v="3"/>
    <n v="2.9849999999999999"/>
    <x v="55"/>
    <x v="2"/>
    <x v="2"/>
    <x v="1"/>
  </r>
  <r>
    <s v="XZD-44484-632"/>
    <x v="607"/>
    <x v="765"/>
    <s v="E-M-1"/>
    <n v="2"/>
    <x v="765"/>
    <s v="hrainforthn2@blog.com"/>
    <x v="0"/>
    <x v="1"/>
    <s v="M"/>
    <x v="0"/>
    <n v="13.75"/>
    <x v="3"/>
    <x v="1"/>
    <x v="0"/>
    <x v="1"/>
  </r>
  <r>
    <s v="XZD-44484-632"/>
    <x v="607"/>
    <x v="765"/>
    <s v="A-D-0.2"/>
    <n v="2"/>
    <x v="765"/>
    <s v="hrainforthn2@blog.com"/>
    <x v="0"/>
    <x v="2"/>
    <s v="D"/>
    <x v="3"/>
    <n v="2.9849999999999999"/>
    <x v="9"/>
    <x v="2"/>
    <x v="2"/>
    <x v="1"/>
  </r>
  <r>
    <s v="IKQ-39946-768"/>
    <x v="385"/>
    <x v="766"/>
    <s v="R-M-1"/>
    <n v="6"/>
    <x v="766"/>
    <s v="ijespern4@theglobeandmail.com"/>
    <x v="0"/>
    <x v="0"/>
    <s v="M"/>
    <x v="0"/>
    <n v="9.9499999999999993"/>
    <x v="33"/>
    <x v="0"/>
    <x v="0"/>
    <x v="1"/>
  </r>
  <r>
    <s v="KMB-95211-174"/>
    <x v="608"/>
    <x v="767"/>
    <s v="R-D-2.5"/>
    <n v="4"/>
    <x v="767"/>
    <s v="ldwerryhousen5@gravatar.com"/>
    <x v="0"/>
    <x v="0"/>
    <s v="D"/>
    <x v="2"/>
    <n v="20.584999999999997"/>
    <x v="18"/>
    <x v="0"/>
    <x v="2"/>
    <x v="0"/>
  </r>
  <r>
    <s v="QWY-99467-368"/>
    <x v="609"/>
    <x v="768"/>
    <s v="A-D-2.5"/>
    <n v="1"/>
    <x v="768"/>
    <s v="nbroomern6@examiner.com"/>
    <x v="0"/>
    <x v="2"/>
    <s v="D"/>
    <x v="2"/>
    <n v="22.884999999999998"/>
    <x v="156"/>
    <x v="2"/>
    <x v="2"/>
    <x v="1"/>
  </r>
  <r>
    <s v="SRG-76791-614"/>
    <x v="147"/>
    <x v="769"/>
    <s v="E-L-0.5"/>
    <n v="1"/>
    <x v="769"/>
    <s v="kthoumassonn7@bloglovin.com"/>
    <x v="0"/>
    <x v="1"/>
    <s v="L"/>
    <x v="1"/>
    <n v="8.91"/>
    <x v="161"/>
    <x v="1"/>
    <x v="1"/>
    <x v="0"/>
  </r>
  <r>
    <s v="VSN-94485-621"/>
    <x v="172"/>
    <x v="770"/>
    <s v="A-D-0.2"/>
    <n v="4"/>
    <x v="770"/>
    <s v="fhabberghamn8@discovery.com"/>
    <x v="0"/>
    <x v="2"/>
    <s v="D"/>
    <x v="3"/>
    <n v="2.9849999999999999"/>
    <x v="22"/>
    <x v="2"/>
    <x v="2"/>
    <x v="1"/>
  </r>
  <r>
    <s v="UFZ-24348-219"/>
    <x v="610"/>
    <x v="745"/>
    <s v="L-M-2.5"/>
    <n v="3"/>
    <x v="745"/>
    <s v=""/>
    <x v="0"/>
    <x v="3"/>
    <s v="M"/>
    <x v="2"/>
    <n v="33.464999999999996"/>
    <x v="64"/>
    <x v="3"/>
    <x v="0"/>
    <x v="1"/>
  </r>
  <r>
    <s v="UKS-93055-397"/>
    <x v="611"/>
    <x v="771"/>
    <s v="A-D-2.5"/>
    <n v="5"/>
    <x v="771"/>
    <s v="ravrashinna@tamu.edu"/>
    <x v="0"/>
    <x v="2"/>
    <s v="D"/>
    <x v="2"/>
    <n v="22.884999999999998"/>
    <x v="15"/>
    <x v="2"/>
    <x v="2"/>
    <x v="1"/>
  </r>
  <r>
    <s v="AVH-56062-335"/>
    <x v="612"/>
    <x v="772"/>
    <s v="E-M-0.5"/>
    <n v="5"/>
    <x v="772"/>
    <s v="mdoidgenb@etsy.com"/>
    <x v="0"/>
    <x v="1"/>
    <s v="M"/>
    <x v="1"/>
    <n v="8.25"/>
    <x v="1"/>
    <x v="1"/>
    <x v="0"/>
    <x v="1"/>
  </r>
  <r>
    <s v="HGE-19842-613"/>
    <x v="613"/>
    <x v="773"/>
    <s v="R-L-0.5"/>
    <n v="4"/>
    <x v="773"/>
    <s v="jedinboronc@reverbnation.com"/>
    <x v="0"/>
    <x v="0"/>
    <s v="L"/>
    <x v="1"/>
    <n v="7.169999999999999"/>
    <x v="139"/>
    <x v="0"/>
    <x v="1"/>
    <x v="0"/>
  </r>
  <r>
    <s v="WBA-85905-175"/>
    <x v="611"/>
    <x v="774"/>
    <s v="L-M-0.2"/>
    <n v="1"/>
    <x v="774"/>
    <s v="ttewelsonnd@cdbaby.com"/>
    <x v="0"/>
    <x v="3"/>
    <s v="M"/>
    <x v="3"/>
    <n v="4.3650000000000002"/>
    <x v="189"/>
    <x v="3"/>
    <x v="0"/>
    <x v="1"/>
  </r>
  <r>
    <s v="DZI-35365-596"/>
    <x v="493"/>
    <x v="760"/>
    <s v="E-M-0.2"/>
    <n v="2"/>
    <x v="760"/>
    <s v="oskermen3@hatena.ne.jp"/>
    <x v="0"/>
    <x v="1"/>
    <s v="M"/>
    <x v="3"/>
    <n v="4.125"/>
    <x v="112"/>
    <x v="1"/>
    <x v="0"/>
    <x v="0"/>
  </r>
  <r>
    <s v="XIR-88982-743"/>
    <x v="614"/>
    <x v="775"/>
    <s v="E-M-0.2"/>
    <n v="2"/>
    <x v="775"/>
    <s v="ddrewittnf@mapquest.com"/>
    <x v="0"/>
    <x v="1"/>
    <s v="M"/>
    <x v="3"/>
    <n v="4.125"/>
    <x v="112"/>
    <x v="1"/>
    <x v="0"/>
    <x v="0"/>
  </r>
  <r>
    <s v="VUC-72395-865"/>
    <x v="151"/>
    <x v="776"/>
    <s v="A-D-0.5"/>
    <n v="6"/>
    <x v="776"/>
    <s v="agladhillng@stanford.edu"/>
    <x v="0"/>
    <x v="2"/>
    <s v="D"/>
    <x v="1"/>
    <n v="5.97"/>
    <x v="27"/>
    <x v="2"/>
    <x v="2"/>
    <x v="0"/>
  </r>
  <r>
    <s v="BQJ-44755-910"/>
    <x v="489"/>
    <x v="777"/>
    <s v="E-D-2.5"/>
    <n v="6"/>
    <x v="777"/>
    <s v="mlorineznh@whitehouse.gov"/>
    <x v="0"/>
    <x v="1"/>
    <s v="D"/>
    <x v="2"/>
    <n v="27.945"/>
    <x v="164"/>
    <x v="1"/>
    <x v="2"/>
    <x v="1"/>
  </r>
  <r>
    <s v="JKC-64636-831"/>
    <x v="615"/>
    <x v="778"/>
    <s v="A-M-2.5"/>
    <n v="2"/>
    <x v="778"/>
    <s v=""/>
    <x v="0"/>
    <x v="2"/>
    <s v="M"/>
    <x v="2"/>
    <n v="25.874999999999996"/>
    <x v="95"/>
    <x v="2"/>
    <x v="0"/>
    <x v="0"/>
  </r>
  <r>
    <s v="ZKI-78561-066"/>
    <x v="616"/>
    <x v="779"/>
    <s v="A-D-0.2"/>
    <n v="3"/>
    <x v="779"/>
    <s v="mvannj@wikipedia.org"/>
    <x v="0"/>
    <x v="2"/>
    <s v="D"/>
    <x v="3"/>
    <n v="2.9849999999999999"/>
    <x v="169"/>
    <x v="2"/>
    <x v="2"/>
    <x v="0"/>
  </r>
  <r>
    <s v="IMP-12563-728"/>
    <x v="578"/>
    <x v="780"/>
    <s v="E-L-0.5"/>
    <n v="6"/>
    <x v="780"/>
    <s v=""/>
    <x v="0"/>
    <x v="1"/>
    <s v="L"/>
    <x v="1"/>
    <n v="8.91"/>
    <x v="119"/>
    <x v="1"/>
    <x v="1"/>
    <x v="1"/>
  </r>
  <r>
    <s v="MZL-81126-390"/>
    <x v="617"/>
    <x v="781"/>
    <s v="A-L-0.2"/>
    <n v="6"/>
    <x v="781"/>
    <s v="jethelstonnl@creativecommons.org"/>
    <x v="0"/>
    <x v="2"/>
    <s v="L"/>
    <x v="3"/>
    <n v="3.8849999999999998"/>
    <x v="102"/>
    <x v="2"/>
    <x v="1"/>
    <x v="0"/>
  </r>
  <r>
    <s v="MZL-81126-390"/>
    <x v="617"/>
    <x v="781"/>
    <s v="A-M-0.2"/>
    <n v="2"/>
    <x v="781"/>
    <s v="jethelstonnl@creativecommons.org"/>
    <x v="0"/>
    <x v="2"/>
    <s v="M"/>
    <x v="3"/>
    <n v="3.375"/>
    <x v="52"/>
    <x v="2"/>
    <x v="0"/>
    <x v="0"/>
  </r>
  <r>
    <s v="TVF-57766-608"/>
    <x v="155"/>
    <x v="782"/>
    <s v="L-D-0.5"/>
    <n v="1"/>
    <x v="782"/>
    <s v="peberznn@woothemes.com"/>
    <x v="0"/>
    <x v="3"/>
    <s v="D"/>
    <x v="1"/>
    <n v="7.77"/>
    <x v="41"/>
    <x v="3"/>
    <x v="2"/>
    <x v="0"/>
  </r>
  <r>
    <s v="RUX-37995-892"/>
    <x v="461"/>
    <x v="783"/>
    <s v="L-D-2.5"/>
    <n v="4"/>
    <x v="783"/>
    <s v="bgaishno@altervista.org"/>
    <x v="0"/>
    <x v="3"/>
    <s v="D"/>
    <x v="2"/>
    <n v="29.784999999999997"/>
    <x v="129"/>
    <x v="3"/>
    <x v="2"/>
    <x v="0"/>
  </r>
  <r>
    <s v="AVK-76526-953"/>
    <x v="87"/>
    <x v="784"/>
    <s v="A-D-1"/>
    <n v="2"/>
    <x v="784"/>
    <s v="ldantonnp@miitbeian.gov.cn"/>
    <x v="0"/>
    <x v="2"/>
    <s v="D"/>
    <x v="0"/>
    <n v="9.9499999999999993"/>
    <x v="0"/>
    <x v="2"/>
    <x v="2"/>
    <x v="1"/>
  </r>
  <r>
    <s v="RIU-02231-623"/>
    <x v="618"/>
    <x v="785"/>
    <s v="R-L-0.5"/>
    <n v="5"/>
    <x v="785"/>
    <s v="smorrallnq@answers.com"/>
    <x v="0"/>
    <x v="0"/>
    <s v="L"/>
    <x v="1"/>
    <n v="7.169999999999999"/>
    <x v="66"/>
    <x v="0"/>
    <x v="1"/>
    <x v="0"/>
  </r>
  <r>
    <s v="WFK-99317-827"/>
    <x v="619"/>
    <x v="786"/>
    <s v="L-D-2.5"/>
    <n v="3"/>
    <x v="786"/>
    <s v="dcrownshawnr@photobucket.com"/>
    <x v="0"/>
    <x v="3"/>
    <s v="D"/>
    <x v="2"/>
    <n v="29.784999999999997"/>
    <x v="49"/>
    <x v="3"/>
    <x v="2"/>
    <x v="1"/>
  </r>
  <r>
    <s v="SFD-00372-284"/>
    <x v="440"/>
    <x v="760"/>
    <s v="L-M-0.2"/>
    <n v="2"/>
    <x v="760"/>
    <s v="oskermen3@hatena.ne.jp"/>
    <x v="0"/>
    <x v="3"/>
    <s v="M"/>
    <x v="3"/>
    <n v="4.3650000000000002"/>
    <x v="31"/>
    <x v="3"/>
    <x v="0"/>
    <x v="0"/>
  </r>
  <r>
    <s v="SXC-62166-515"/>
    <x v="489"/>
    <x v="787"/>
    <s v="R-L-2.5"/>
    <n v="5"/>
    <x v="787"/>
    <s v="jreddochnt@sun.com"/>
    <x v="0"/>
    <x v="0"/>
    <s v="L"/>
    <x v="2"/>
    <n v="27.484999999999996"/>
    <x v="187"/>
    <x v="0"/>
    <x v="1"/>
    <x v="1"/>
  </r>
  <r>
    <s v="YIE-87008-621"/>
    <x v="620"/>
    <x v="788"/>
    <s v="L-M-0.5"/>
    <n v="4"/>
    <x v="788"/>
    <s v="stitleynu@whitehouse.gov"/>
    <x v="0"/>
    <x v="3"/>
    <s v="M"/>
    <x v="1"/>
    <n v="8.73"/>
    <x v="190"/>
    <x v="3"/>
    <x v="0"/>
    <x v="1"/>
  </r>
  <r>
    <s v="HRM-94548-288"/>
    <x v="621"/>
    <x v="789"/>
    <s v="A-L-2.5"/>
    <n v="6"/>
    <x v="789"/>
    <s v="rsimaonv@simplemachines.org"/>
    <x v="0"/>
    <x v="2"/>
    <s v="L"/>
    <x v="2"/>
    <n v="29.784999999999997"/>
    <x v="39"/>
    <x v="2"/>
    <x v="1"/>
    <x v="1"/>
  </r>
  <r>
    <s v="UJG-34731-295"/>
    <x v="374"/>
    <x v="790"/>
    <s v="A-M-2.5"/>
    <n v="1"/>
    <x v="790"/>
    <s v=""/>
    <x v="0"/>
    <x v="2"/>
    <s v="M"/>
    <x v="2"/>
    <n v="25.874999999999996"/>
    <x v="145"/>
    <x v="2"/>
    <x v="0"/>
    <x v="1"/>
  </r>
  <r>
    <s v="TWD-70988-853"/>
    <x v="345"/>
    <x v="791"/>
    <s v="L-D-1"/>
    <n v="6"/>
    <x v="791"/>
    <s v="nchisholmnx@example.com"/>
    <x v="0"/>
    <x v="3"/>
    <s v="D"/>
    <x v="0"/>
    <n v="12.95"/>
    <x v="17"/>
    <x v="3"/>
    <x v="2"/>
    <x v="0"/>
  </r>
  <r>
    <s v="CIX-22904-641"/>
    <x v="622"/>
    <x v="792"/>
    <s v="R-M-1"/>
    <n v="1"/>
    <x v="792"/>
    <s v="goatsny@live.com"/>
    <x v="0"/>
    <x v="0"/>
    <s v="M"/>
    <x v="0"/>
    <n v="9.9499999999999993"/>
    <x v="138"/>
    <x v="0"/>
    <x v="0"/>
    <x v="0"/>
  </r>
  <r>
    <s v="DLV-65840-759"/>
    <x v="623"/>
    <x v="793"/>
    <s v="L-M-1"/>
    <n v="2"/>
    <x v="793"/>
    <s v="mbirkinnz@java.com"/>
    <x v="0"/>
    <x v="3"/>
    <s v="M"/>
    <x v="0"/>
    <n v="14.55"/>
    <x v="194"/>
    <x v="3"/>
    <x v="0"/>
    <x v="0"/>
  </r>
  <r>
    <s v="RXN-55491-201"/>
    <x v="354"/>
    <x v="794"/>
    <s v="R-L-0.2"/>
    <n v="6"/>
    <x v="794"/>
    <s v="rpysono0@constantcontact.com"/>
    <x v="1"/>
    <x v="0"/>
    <s v="L"/>
    <x v="3"/>
    <n v="3.5849999999999995"/>
    <x v="137"/>
    <x v="0"/>
    <x v="1"/>
    <x v="1"/>
  </r>
  <r>
    <s v="UHK-63283-868"/>
    <x v="624"/>
    <x v="795"/>
    <s v="A-M-0.5"/>
    <n v="1"/>
    <x v="795"/>
    <s v="mmacconnechieo9@reuters.com"/>
    <x v="0"/>
    <x v="2"/>
    <s v="M"/>
    <x v="1"/>
    <n v="6.75"/>
    <x v="52"/>
    <x v="2"/>
    <x v="0"/>
    <x v="0"/>
  </r>
  <r>
    <s v="PJC-31401-893"/>
    <x v="561"/>
    <x v="796"/>
    <s v="A-D-0.5"/>
    <n v="3"/>
    <x v="796"/>
    <s v="rtreachero2@usa.gov"/>
    <x v="1"/>
    <x v="2"/>
    <s v="D"/>
    <x v="1"/>
    <n v="5.97"/>
    <x v="8"/>
    <x v="2"/>
    <x v="2"/>
    <x v="1"/>
  </r>
  <r>
    <s v="HHO-79903-185"/>
    <x v="42"/>
    <x v="797"/>
    <s v="A-L-2.5"/>
    <n v="1"/>
    <x v="797"/>
    <s v="bfattorinio3@quantcast.com"/>
    <x v="1"/>
    <x v="2"/>
    <s v="L"/>
    <x v="2"/>
    <n v="29.784999999999997"/>
    <x v="91"/>
    <x v="2"/>
    <x v="1"/>
    <x v="0"/>
  </r>
  <r>
    <s v="YWM-07310-594"/>
    <x v="267"/>
    <x v="798"/>
    <s v="E-M-0.5"/>
    <n v="5"/>
    <x v="798"/>
    <s v="mpalleskeo4@nyu.edu"/>
    <x v="0"/>
    <x v="1"/>
    <s v="M"/>
    <x v="1"/>
    <n v="8.25"/>
    <x v="1"/>
    <x v="1"/>
    <x v="0"/>
    <x v="0"/>
  </r>
  <r>
    <s v="FHD-94983-982"/>
    <x v="625"/>
    <x v="799"/>
    <s v="R-M-0.5"/>
    <n v="3"/>
    <x v="799"/>
    <s v=""/>
    <x v="0"/>
    <x v="0"/>
    <s v="M"/>
    <x v="1"/>
    <n v="5.97"/>
    <x v="8"/>
    <x v="0"/>
    <x v="0"/>
    <x v="0"/>
  </r>
  <r>
    <s v="WQK-10857-119"/>
    <x v="616"/>
    <x v="800"/>
    <s v="E-D-0.5"/>
    <n v="1"/>
    <x v="800"/>
    <s v="fantcliffeo6@amazon.co.jp"/>
    <x v="1"/>
    <x v="1"/>
    <s v="D"/>
    <x v="1"/>
    <n v="7.29"/>
    <x v="35"/>
    <x v="1"/>
    <x v="2"/>
    <x v="0"/>
  </r>
  <r>
    <s v="DXA-50313-073"/>
    <x v="626"/>
    <x v="801"/>
    <s v="E-L-1"/>
    <n v="2"/>
    <x v="801"/>
    <s v="pmatignono7@harvard.edu"/>
    <x v="2"/>
    <x v="1"/>
    <s v="L"/>
    <x v="0"/>
    <n v="14.85"/>
    <x v="195"/>
    <x v="1"/>
    <x v="1"/>
    <x v="0"/>
  </r>
  <r>
    <s v="ONW-00560-570"/>
    <x v="52"/>
    <x v="802"/>
    <s v="A-M-1"/>
    <n v="2"/>
    <x v="802"/>
    <s v="cweondo8@theglobeandmail.com"/>
    <x v="0"/>
    <x v="2"/>
    <s v="M"/>
    <x v="0"/>
    <n v="11.25"/>
    <x v="122"/>
    <x v="2"/>
    <x v="0"/>
    <x v="1"/>
  </r>
  <r>
    <s v="BRJ-19414-277"/>
    <x v="622"/>
    <x v="795"/>
    <s v="R-M-0.2"/>
    <n v="4"/>
    <x v="795"/>
    <s v="mmacconnechieo9@reuters.com"/>
    <x v="0"/>
    <x v="0"/>
    <s v="M"/>
    <x v="3"/>
    <n v="2.9849999999999999"/>
    <x v="22"/>
    <x v="0"/>
    <x v="0"/>
    <x v="0"/>
  </r>
  <r>
    <s v="MIQ-16322-908"/>
    <x v="627"/>
    <x v="803"/>
    <s v="A-L-1"/>
    <n v="2"/>
    <x v="803"/>
    <s v="jskentelberyoa@paypal.com"/>
    <x v="0"/>
    <x v="2"/>
    <s v="L"/>
    <x v="0"/>
    <n v="12.95"/>
    <x v="109"/>
    <x v="2"/>
    <x v="1"/>
    <x v="1"/>
  </r>
  <r>
    <s v="MVO-39328-830"/>
    <x v="628"/>
    <x v="804"/>
    <s v="L-M-0.5"/>
    <n v="5"/>
    <x v="804"/>
    <s v="ocomberob@goo.gl"/>
    <x v="1"/>
    <x v="3"/>
    <s v="M"/>
    <x v="1"/>
    <n v="8.73"/>
    <x v="34"/>
    <x v="3"/>
    <x v="0"/>
    <x v="1"/>
  </r>
  <r>
    <s v="MVO-39328-830"/>
    <x v="628"/>
    <x v="804"/>
    <s v="A-L-0.5"/>
    <n v="6"/>
    <x v="804"/>
    <s v="ocomberob@goo.gl"/>
    <x v="1"/>
    <x v="2"/>
    <s v="L"/>
    <x v="1"/>
    <n v="7.77"/>
    <x v="162"/>
    <x v="2"/>
    <x v="1"/>
    <x v="1"/>
  </r>
  <r>
    <s v="NTJ-88319-746"/>
    <x v="629"/>
    <x v="805"/>
    <s v="L-L-0.5"/>
    <n v="3"/>
    <x v="805"/>
    <s v="ztramelod@netlog.com"/>
    <x v="0"/>
    <x v="3"/>
    <s v="L"/>
    <x v="1"/>
    <n v="9.51"/>
    <x v="32"/>
    <x v="3"/>
    <x v="1"/>
    <x v="1"/>
  </r>
  <r>
    <s v="LCY-24377-948"/>
    <x v="630"/>
    <x v="806"/>
    <s v="R-L-2.5"/>
    <n v="1"/>
    <x v="806"/>
    <s v=""/>
    <x v="0"/>
    <x v="0"/>
    <s v="L"/>
    <x v="2"/>
    <n v="27.484999999999996"/>
    <x v="142"/>
    <x v="0"/>
    <x v="1"/>
    <x v="0"/>
  </r>
  <r>
    <s v="FWD-85967-769"/>
    <x v="631"/>
    <x v="807"/>
    <s v="E-D-0.2"/>
    <n v="3"/>
    <x v="807"/>
    <s v=""/>
    <x v="0"/>
    <x v="1"/>
    <s v="D"/>
    <x v="3"/>
    <n v="3.645"/>
    <x v="47"/>
    <x v="1"/>
    <x v="2"/>
    <x v="1"/>
  </r>
  <r>
    <s v="KTO-53793-109"/>
    <x v="229"/>
    <x v="808"/>
    <s v="R-L-0.2"/>
    <n v="2"/>
    <x v="808"/>
    <s v="chatfullog@ebay.com"/>
    <x v="0"/>
    <x v="0"/>
    <s v="L"/>
    <x v="3"/>
    <n v="3.5849999999999995"/>
    <x v="53"/>
    <x v="0"/>
    <x v="1"/>
    <x v="1"/>
  </r>
  <r>
    <s v="OCK-89033-348"/>
    <x v="632"/>
    <x v="809"/>
    <s v="A-L-0.2"/>
    <n v="6"/>
    <x v="809"/>
    <s v=""/>
    <x v="0"/>
    <x v="2"/>
    <s v="L"/>
    <x v="3"/>
    <n v="3.8849999999999998"/>
    <x v="102"/>
    <x v="2"/>
    <x v="1"/>
    <x v="0"/>
  </r>
  <r>
    <s v="GPZ-36017-366"/>
    <x v="633"/>
    <x v="810"/>
    <s v="A-D-2.5"/>
    <n v="5"/>
    <x v="810"/>
    <s v="kmarrisonoq@dropbox.com"/>
    <x v="0"/>
    <x v="2"/>
    <s v="D"/>
    <x v="2"/>
    <n v="22.884999999999998"/>
    <x v="15"/>
    <x v="2"/>
    <x v="2"/>
    <x v="0"/>
  </r>
  <r>
    <s v="BZP-33213-637"/>
    <x v="95"/>
    <x v="811"/>
    <s v="A-M-2.5"/>
    <n v="3"/>
    <x v="811"/>
    <s v="lagnolooj@pinterest.com"/>
    <x v="0"/>
    <x v="2"/>
    <s v="M"/>
    <x v="2"/>
    <n v="25.874999999999996"/>
    <x v="57"/>
    <x v="2"/>
    <x v="0"/>
    <x v="0"/>
  </r>
  <r>
    <s v="WFH-21507-708"/>
    <x v="521"/>
    <x v="812"/>
    <s v="R-D-0.5"/>
    <n v="1"/>
    <x v="812"/>
    <s v="dkiddyok@fda.gov"/>
    <x v="0"/>
    <x v="0"/>
    <s v="D"/>
    <x v="1"/>
    <n v="5.3699999999999992"/>
    <x v="147"/>
    <x v="0"/>
    <x v="2"/>
    <x v="0"/>
  </r>
  <r>
    <s v="HST-96923-073"/>
    <x v="76"/>
    <x v="813"/>
    <s v="R-D-2.5"/>
    <n v="6"/>
    <x v="813"/>
    <s v="hpetroulisol@state.tx.us"/>
    <x v="1"/>
    <x v="0"/>
    <s v="D"/>
    <x v="2"/>
    <n v="20.584999999999997"/>
    <x v="99"/>
    <x v="0"/>
    <x v="2"/>
    <x v="1"/>
  </r>
  <r>
    <s v="ENN-79947-323"/>
    <x v="634"/>
    <x v="814"/>
    <s v="L-M-0.5"/>
    <n v="2"/>
    <x v="814"/>
    <s v="mschollom@taobao.com"/>
    <x v="0"/>
    <x v="3"/>
    <s v="M"/>
    <x v="1"/>
    <n v="8.73"/>
    <x v="92"/>
    <x v="3"/>
    <x v="0"/>
    <x v="1"/>
  </r>
  <r>
    <s v="BHA-47429-889"/>
    <x v="635"/>
    <x v="815"/>
    <s v="E-L-0.2"/>
    <n v="3"/>
    <x v="815"/>
    <s v="kfersonon@g.co"/>
    <x v="0"/>
    <x v="1"/>
    <s v="L"/>
    <x v="3"/>
    <n v="4.4550000000000001"/>
    <x v="77"/>
    <x v="1"/>
    <x v="1"/>
    <x v="1"/>
  </r>
  <r>
    <s v="SZY-63017-318"/>
    <x v="636"/>
    <x v="816"/>
    <s v="A-L-0.2"/>
    <n v="2"/>
    <x v="816"/>
    <s v="bkellowayoo@omniture.com"/>
    <x v="0"/>
    <x v="2"/>
    <s v="L"/>
    <x v="3"/>
    <n v="3.8849999999999998"/>
    <x v="41"/>
    <x v="2"/>
    <x v="1"/>
    <x v="0"/>
  </r>
  <r>
    <s v="LCU-93317-340"/>
    <x v="637"/>
    <x v="817"/>
    <s v="R-D-0.2"/>
    <n v="1"/>
    <x v="817"/>
    <s v="soliffeop@yellowbook.com"/>
    <x v="0"/>
    <x v="0"/>
    <s v="D"/>
    <x v="3"/>
    <n v="2.6849999999999996"/>
    <x v="97"/>
    <x v="0"/>
    <x v="2"/>
    <x v="0"/>
  </r>
  <r>
    <s v="UOM-71431-481"/>
    <x v="182"/>
    <x v="810"/>
    <s v="R-D-2.5"/>
    <n v="1"/>
    <x v="810"/>
    <s v="kmarrisonoq@dropbox.com"/>
    <x v="0"/>
    <x v="0"/>
    <s v="D"/>
    <x v="2"/>
    <n v="20.584999999999997"/>
    <x v="123"/>
    <x v="0"/>
    <x v="2"/>
    <x v="0"/>
  </r>
  <r>
    <s v="PJH-42618-877"/>
    <x v="479"/>
    <x v="818"/>
    <s v="A-D-2.5"/>
    <n v="5"/>
    <x v="818"/>
    <s v="cdolohuntyor@dailymail.co.uk"/>
    <x v="0"/>
    <x v="2"/>
    <s v="D"/>
    <x v="2"/>
    <n v="22.884999999999998"/>
    <x v="15"/>
    <x v="2"/>
    <x v="2"/>
    <x v="0"/>
  </r>
  <r>
    <s v="XED-90333-402"/>
    <x v="638"/>
    <x v="819"/>
    <s v="E-M-0.2"/>
    <n v="5"/>
    <x v="819"/>
    <s v="pvasilenkoos@addtoany.com"/>
    <x v="2"/>
    <x v="1"/>
    <s v="M"/>
    <x v="3"/>
    <n v="4.125"/>
    <x v="132"/>
    <x v="1"/>
    <x v="0"/>
    <x v="1"/>
  </r>
  <r>
    <s v="IKK-62234-199"/>
    <x v="639"/>
    <x v="820"/>
    <s v="L-L-0.5"/>
    <n v="6"/>
    <x v="820"/>
    <s v="rschankelborgot@ameblo.jp"/>
    <x v="0"/>
    <x v="3"/>
    <s v="L"/>
    <x v="1"/>
    <n v="9.51"/>
    <x v="30"/>
    <x v="3"/>
    <x v="1"/>
    <x v="0"/>
  </r>
  <r>
    <s v="KAW-95195-329"/>
    <x v="640"/>
    <x v="821"/>
    <s v="R-D-2.5"/>
    <n v="4"/>
    <x v="821"/>
    <s v=""/>
    <x v="1"/>
    <x v="0"/>
    <s v="D"/>
    <x v="2"/>
    <n v="20.584999999999997"/>
    <x v="18"/>
    <x v="0"/>
    <x v="2"/>
    <x v="0"/>
  </r>
  <r>
    <s v="QDO-57268-842"/>
    <x v="612"/>
    <x v="822"/>
    <s v="E-M-2.5"/>
    <n v="5"/>
    <x v="822"/>
    <s v=""/>
    <x v="0"/>
    <x v="1"/>
    <s v="M"/>
    <x v="2"/>
    <n v="31.624999999999996"/>
    <x v="196"/>
    <x v="1"/>
    <x v="0"/>
    <x v="1"/>
  </r>
  <r>
    <s v="IIZ-24416-212"/>
    <x v="641"/>
    <x v="823"/>
    <s v="R-D-0.5"/>
    <n v="6"/>
    <x v="823"/>
    <s v="bcargenow@geocities.jp"/>
    <x v="0"/>
    <x v="0"/>
    <s v="D"/>
    <x v="1"/>
    <n v="5.3699999999999992"/>
    <x v="111"/>
    <x v="0"/>
    <x v="2"/>
    <x v="0"/>
  </r>
  <r>
    <s v="AWP-11469-510"/>
    <x v="36"/>
    <x v="824"/>
    <s v="E-D-1"/>
    <n v="2"/>
    <x v="824"/>
    <s v="rsticklerox@printfriendly.com"/>
    <x v="2"/>
    <x v="1"/>
    <s v="D"/>
    <x v="0"/>
    <n v="12.15"/>
    <x v="76"/>
    <x v="1"/>
    <x v="2"/>
    <x v="1"/>
  </r>
  <r>
    <s v="KXA-27983-918"/>
    <x v="642"/>
    <x v="825"/>
    <s v="R-L-0.5"/>
    <n v="5"/>
    <x v="825"/>
    <s v=""/>
    <x v="0"/>
    <x v="0"/>
    <s v="L"/>
    <x v="1"/>
    <n v="7.169999999999999"/>
    <x v="66"/>
    <x v="0"/>
    <x v="1"/>
    <x v="1"/>
  </r>
  <r>
    <s v="VKQ-39009-292"/>
    <x v="219"/>
    <x v="822"/>
    <s v="L-M-1"/>
    <n v="5"/>
    <x v="822"/>
    <s v=""/>
    <x v="0"/>
    <x v="3"/>
    <s v="M"/>
    <x v="0"/>
    <n v="14.55"/>
    <x v="45"/>
    <x v="3"/>
    <x v="0"/>
    <x v="1"/>
  </r>
  <r>
    <s v="PDB-98743-282"/>
    <x v="643"/>
    <x v="826"/>
    <s v="L-L-1"/>
    <n v="3"/>
    <x v="826"/>
    <s v=""/>
    <x v="1"/>
    <x v="3"/>
    <s v="L"/>
    <x v="0"/>
    <n v="15.85"/>
    <x v="46"/>
    <x v="3"/>
    <x v="1"/>
    <x v="1"/>
  </r>
  <r>
    <s v="SXW-34014-556"/>
    <x v="644"/>
    <x v="827"/>
    <s v="R-L-0.2"/>
    <n v="1"/>
    <x v="827"/>
    <s v="djevonp1@ibm.com"/>
    <x v="0"/>
    <x v="0"/>
    <s v="L"/>
    <x v="3"/>
    <n v="3.5849999999999995"/>
    <x v="60"/>
    <x v="0"/>
    <x v="1"/>
    <x v="0"/>
  </r>
  <r>
    <s v="QOJ-38788-727"/>
    <x v="136"/>
    <x v="828"/>
    <s v="E-M-2.5"/>
    <n v="5"/>
    <x v="828"/>
    <s v="hrannerp2@omniture.com"/>
    <x v="0"/>
    <x v="1"/>
    <s v="M"/>
    <x v="2"/>
    <n v="31.624999999999996"/>
    <x v="196"/>
    <x v="1"/>
    <x v="0"/>
    <x v="1"/>
  </r>
  <r>
    <s v="TGF-38649-658"/>
    <x v="645"/>
    <x v="829"/>
    <s v="L-M-0.5"/>
    <n v="2"/>
    <x v="829"/>
    <s v="bimriep3@addtoany.com"/>
    <x v="0"/>
    <x v="3"/>
    <s v="M"/>
    <x v="1"/>
    <n v="8.73"/>
    <x v="92"/>
    <x v="3"/>
    <x v="0"/>
    <x v="1"/>
  </r>
  <r>
    <s v="EAI-25194-209"/>
    <x v="646"/>
    <x v="830"/>
    <s v="A-L-2.5"/>
    <n v="5"/>
    <x v="830"/>
    <s v="dsopperp4@eventbrite.com"/>
    <x v="0"/>
    <x v="2"/>
    <s v="L"/>
    <x v="2"/>
    <n v="29.784999999999997"/>
    <x v="74"/>
    <x v="2"/>
    <x v="1"/>
    <x v="1"/>
  </r>
  <r>
    <s v="IJK-34441-720"/>
    <x v="647"/>
    <x v="831"/>
    <s v="A-M-0.5"/>
    <n v="6"/>
    <x v="831"/>
    <s v=""/>
    <x v="0"/>
    <x v="2"/>
    <s v="M"/>
    <x v="1"/>
    <n v="6.75"/>
    <x v="61"/>
    <x v="2"/>
    <x v="0"/>
    <x v="0"/>
  </r>
  <r>
    <s v="ZMC-00336-619"/>
    <x v="591"/>
    <x v="832"/>
    <s v="A-M-0.5"/>
    <n v="4"/>
    <x v="832"/>
    <s v="lledgleyp6@de.vu"/>
    <x v="0"/>
    <x v="2"/>
    <s v="M"/>
    <x v="1"/>
    <n v="6.75"/>
    <x v="25"/>
    <x v="2"/>
    <x v="0"/>
    <x v="0"/>
  </r>
  <r>
    <s v="UPX-54529-618"/>
    <x v="648"/>
    <x v="833"/>
    <s v="L-D-1"/>
    <n v="3"/>
    <x v="833"/>
    <s v="tmenaryp7@phoca.cz"/>
    <x v="0"/>
    <x v="3"/>
    <s v="D"/>
    <x v="0"/>
    <n v="12.95"/>
    <x v="5"/>
    <x v="3"/>
    <x v="2"/>
    <x v="1"/>
  </r>
  <r>
    <s v="DLX-01059-899"/>
    <x v="191"/>
    <x v="834"/>
    <s v="R-L-1"/>
    <n v="5"/>
    <x v="834"/>
    <s v="gciccottip8@so-net.ne.jp"/>
    <x v="0"/>
    <x v="0"/>
    <s v="L"/>
    <x v="0"/>
    <n v="11.95"/>
    <x v="143"/>
    <x v="0"/>
    <x v="1"/>
    <x v="1"/>
  </r>
  <r>
    <s v="MEK-85120-243"/>
    <x v="649"/>
    <x v="835"/>
    <s v="R-L-0.2"/>
    <n v="3"/>
    <x v="835"/>
    <s v=""/>
    <x v="0"/>
    <x v="0"/>
    <s v="L"/>
    <x v="3"/>
    <n v="3.5849999999999995"/>
    <x v="127"/>
    <x v="0"/>
    <x v="1"/>
    <x v="1"/>
  </r>
  <r>
    <s v="NFI-37188-246"/>
    <x v="553"/>
    <x v="836"/>
    <s v="A-D-2.5"/>
    <n v="4"/>
    <x v="836"/>
    <s v="wjallinpa@pcworld.com"/>
    <x v="0"/>
    <x v="2"/>
    <s v="D"/>
    <x v="2"/>
    <n v="22.884999999999998"/>
    <x v="21"/>
    <x v="2"/>
    <x v="2"/>
    <x v="1"/>
  </r>
  <r>
    <s v="BXH-62195-013"/>
    <x v="584"/>
    <x v="837"/>
    <s v="A-M-1"/>
    <n v="4"/>
    <x v="837"/>
    <s v="mbogeypb@thetimes.co.uk"/>
    <x v="0"/>
    <x v="2"/>
    <s v="M"/>
    <x v="0"/>
    <n v="11.25"/>
    <x v="157"/>
    <x v="2"/>
    <x v="0"/>
    <x v="0"/>
  </r>
  <r>
    <s v="YLK-78851-470"/>
    <x v="650"/>
    <x v="838"/>
    <s v="R-M-2.5"/>
    <n v="6"/>
    <x v="838"/>
    <s v=""/>
    <x v="0"/>
    <x v="0"/>
    <s v="M"/>
    <x v="2"/>
    <n v="22.884999999999998"/>
    <x v="170"/>
    <x v="0"/>
    <x v="0"/>
    <x v="0"/>
  </r>
  <r>
    <s v="DXY-76225-633"/>
    <x v="121"/>
    <x v="839"/>
    <s v="A-M-0.5"/>
    <n v="1"/>
    <x v="839"/>
    <s v="mcobbledickpd@ucsd.edu"/>
    <x v="0"/>
    <x v="2"/>
    <s v="M"/>
    <x v="1"/>
    <n v="6.75"/>
    <x v="52"/>
    <x v="2"/>
    <x v="0"/>
    <x v="1"/>
  </r>
  <r>
    <s v="UHP-24614-199"/>
    <x v="472"/>
    <x v="840"/>
    <s v="A-M-1"/>
    <n v="4"/>
    <x v="840"/>
    <s v="alewrype@whitehouse.gov"/>
    <x v="0"/>
    <x v="2"/>
    <s v="M"/>
    <x v="0"/>
    <n v="11.25"/>
    <x v="157"/>
    <x v="2"/>
    <x v="0"/>
    <x v="1"/>
  </r>
  <r>
    <s v="HBY-35655-049"/>
    <x v="594"/>
    <x v="841"/>
    <s v="E-D-2.5"/>
    <n v="3"/>
    <x v="841"/>
    <s v="ihesselpf@ox.ac.uk"/>
    <x v="0"/>
    <x v="1"/>
    <s v="D"/>
    <x v="2"/>
    <n v="27.945"/>
    <x v="171"/>
    <x v="1"/>
    <x v="2"/>
    <x v="0"/>
  </r>
  <r>
    <s v="DCE-22886-861"/>
    <x v="89"/>
    <x v="842"/>
    <s v="E-D-0.2"/>
    <n v="1"/>
    <x v="842"/>
    <s v=""/>
    <x v="1"/>
    <x v="1"/>
    <s v="D"/>
    <x v="3"/>
    <n v="3.645"/>
    <x v="186"/>
    <x v="1"/>
    <x v="2"/>
    <x v="0"/>
  </r>
  <r>
    <s v="QTG-93823-843"/>
    <x v="651"/>
    <x v="843"/>
    <s v="A-M-0.5"/>
    <n v="1"/>
    <x v="843"/>
    <s v="csorrellph@amazon.com"/>
    <x v="2"/>
    <x v="2"/>
    <s v="M"/>
    <x v="1"/>
    <n v="6.75"/>
    <x v="52"/>
    <x v="2"/>
    <x v="0"/>
    <x v="1"/>
  </r>
  <r>
    <s v="QTG-93823-843"/>
    <x v="651"/>
    <x v="843"/>
    <s v="E-D-0.5"/>
    <n v="3"/>
    <x v="843"/>
    <s v="csorrellph@amazon.com"/>
    <x v="2"/>
    <x v="1"/>
    <s v="D"/>
    <x v="1"/>
    <n v="7.29"/>
    <x v="6"/>
    <x v="1"/>
    <x v="2"/>
    <x v="1"/>
  </r>
  <r>
    <s v="WFT-16178-396"/>
    <x v="249"/>
    <x v="844"/>
    <s v="R-D-0.2"/>
    <n v="5"/>
    <x v="844"/>
    <s v="qheavysidepj@unc.edu"/>
    <x v="0"/>
    <x v="0"/>
    <s v="D"/>
    <x v="3"/>
    <n v="2.6849999999999996"/>
    <x v="148"/>
    <x v="0"/>
    <x v="2"/>
    <x v="0"/>
  </r>
  <r>
    <s v="ERC-54560-934"/>
    <x v="652"/>
    <x v="845"/>
    <s v="R-D-2.5"/>
    <n v="6"/>
    <x v="845"/>
    <s v="hreuvenpk@whitehouse.gov"/>
    <x v="0"/>
    <x v="0"/>
    <s v="D"/>
    <x v="2"/>
    <n v="20.584999999999997"/>
    <x v="99"/>
    <x v="0"/>
    <x v="2"/>
    <x v="1"/>
  </r>
  <r>
    <s v="RUK-78200-416"/>
    <x v="653"/>
    <x v="846"/>
    <s v="L-D-0.2"/>
    <n v="2"/>
    <x v="846"/>
    <s v="mattwoolpl@nba.com"/>
    <x v="0"/>
    <x v="3"/>
    <s v="D"/>
    <x v="3"/>
    <n v="3.8849999999999998"/>
    <x v="41"/>
    <x v="3"/>
    <x v="2"/>
    <x v="1"/>
  </r>
  <r>
    <s v="KHK-13105-388"/>
    <x v="177"/>
    <x v="847"/>
    <s v="A-M-1"/>
    <n v="6"/>
    <x v="847"/>
    <s v=""/>
    <x v="0"/>
    <x v="2"/>
    <s v="M"/>
    <x v="0"/>
    <n v="11.25"/>
    <x v="173"/>
    <x v="2"/>
    <x v="0"/>
    <x v="0"/>
  </r>
  <r>
    <s v="NJR-03699-189"/>
    <x v="22"/>
    <x v="848"/>
    <s v="E-D-2.5"/>
    <n v="1"/>
    <x v="848"/>
    <s v="gwynespn@dagondesign.com"/>
    <x v="0"/>
    <x v="1"/>
    <s v="D"/>
    <x v="2"/>
    <n v="27.945"/>
    <x v="140"/>
    <x v="1"/>
    <x v="2"/>
    <x v="1"/>
  </r>
  <r>
    <s v="PJV-20427-019"/>
    <x v="508"/>
    <x v="849"/>
    <s v="A-L-2.5"/>
    <n v="3"/>
    <x v="849"/>
    <s v="cmaccourtpo@amazon.com"/>
    <x v="0"/>
    <x v="2"/>
    <s v="L"/>
    <x v="2"/>
    <n v="29.784999999999997"/>
    <x v="49"/>
    <x v="2"/>
    <x v="1"/>
    <x v="1"/>
  </r>
  <r>
    <s v="UGK-07613-982"/>
    <x v="654"/>
    <x v="822"/>
    <s v="A-M-0.5"/>
    <n v="3"/>
    <x v="822"/>
    <s v=""/>
    <x v="0"/>
    <x v="2"/>
    <s v="M"/>
    <x v="1"/>
    <n v="6.75"/>
    <x v="16"/>
    <x v="2"/>
    <x v="0"/>
    <x v="1"/>
  </r>
  <r>
    <s v="OLA-68289-577"/>
    <x v="524"/>
    <x v="850"/>
    <s v="A-M-0.5"/>
    <n v="5"/>
    <x v="850"/>
    <s v="ewilsonepq@eepurl.com"/>
    <x v="0"/>
    <x v="2"/>
    <s v="M"/>
    <x v="1"/>
    <n v="6.75"/>
    <x v="65"/>
    <x v="2"/>
    <x v="0"/>
    <x v="0"/>
  </r>
  <r>
    <s v="TNR-84447-052"/>
    <x v="655"/>
    <x v="851"/>
    <s v="E-D-2.5"/>
    <n v="4"/>
    <x v="851"/>
    <s v="dduffiepr@time.com"/>
    <x v="0"/>
    <x v="1"/>
    <s v="D"/>
    <x v="2"/>
    <n v="27.945"/>
    <x v="150"/>
    <x v="1"/>
    <x v="2"/>
    <x v="1"/>
  </r>
  <r>
    <s v="FBZ-64200-586"/>
    <x v="523"/>
    <x v="852"/>
    <s v="E-M-2.5"/>
    <n v="2"/>
    <x v="852"/>
    <s v="mmatiasekps@ucoz.ru"/>
    <x v="0"/>
    <x v="1"/>
    <s v="M"/>
    <x v="2"/>
    <n v="31.624999999999996"/>
    <x v="40"/>
    <x v="1"/>
    <x v="0"/>
    <x v="0"/>
  </r>
  <r>
    <s v="OBN-66334-505"/>
    <x v="656"/>
    <x v="853"/>
    <s v="E-L-0.2"/>
    <n v="2"/>
    <x v="853"/>
    <s v="jcamillopt@shinystat.com"/>
    <x v="0"/>
    <x v="1"/>
    <s v="L"/>
    <x v="3"/>
    <n v="4.4550000000000001"/>
    <x v="161"/>
    <x v="1"/>
    <x v="1"/>
    <x v="0"/>
  </r>
  <r>
    <s v="NXM-89323-646"/>
    <x v="657"/>
    <x v="854"/>
    <s v="E-D-1"/>
    <n v="1"/>
    <x v="854"/>
    <s v="kphilbrickpu@cdc.gov"/>
    <x v="0"/>
    <x v="1"/>
    <s v="D"/>
    <x v="0"/>
    <n v="12.15"/>
    <x v="87"/>
    <x v="1"/>
    <x v="2"/>
    <x v="0"/>
  </r>
  <r>
    <s v="NHI-23264-055"/>
    <x v="658"/>
    <x v="855"/>
    <s v="A-D-0.5"/>
    <n v="4"/>
    <x v="855"/>
    <s v=""/>
    <x v="0"/>
    <x v="2"/>
    <s v="D"/>
    <x v="1"/>
    <n v="5.97"/>
    <x v="86"/>
    <x v="2"/>
    <x v="2"/>
    <x v="0"/>
  </r>
  <r>
    <s v="EQH-53569-934"/>
    <x v="659"/>
    <x v="856"/>
    <s v="E-M-1"/>
    <n v="4"/>
    <x v="856"/>
    <s v="bsillispw@istockphoto.com"/>
    <x v="0"/>
    <x v="1"/>
    <s v="M"/>
    <x v="0"/>
    <n v="13.75"/>
    <x v="193"/>
    <x v="1"/>
    <x v="0"/>
    <x v="1"/>
  </r>
  <r>
    <s v="XKK-06692-189"/>
    <x v="558"/>
    <x v="857"/>
    <s v="R-D-1"/>
    <n v="3"/>
    <x v="857"/>
    <s v=""/>
    <x v="0"/>
    <x v="0"/>
    <s v="D"/>
    <x v="0"/>
    <n v="8.9499999999999993"/>
    <x v="166"/>
    <x v="0"/>
    <x v="2"/>
    <x v="0"/>
  </r>
  <r>
    <s v="BYP-16005-016"/>
    <x v="660"/>
    <x v="858"/>
    <s v="R-M-2.5"/>
    <n v="5"/>
    <x v="858"/>
    <s v="rcuttspy@techcrunch.com"/>
    <x v="0"/>
    <x v="0"/>
    <s v="M"/>
    <x v="2"/>
    <n v="22.884999999999998"/>
    <x v="15"/>
    <x v="0"/>
    <x v="0"/>
    <x v="1"/>
  </r>
  <r>
    <s v="LWS-13938-905"/>
    <x v="661"/>
    <x v="859"/>
    <s v="A-M-2.5"/>
    <n v="6"/>
    <x v="859"/>
    <s v="mdelvespz@nature.com"/>
    <x v="0"/>
    <x v="2"/>
    <s v="M"/>
    <x v="2"/>
    <n v="25.874999999999996"/>
    <x v="71"/>
    <x v="2"/>
    <x v="0"/>
    <x v="0"/>
  </r>
  <r>
    <s v="OLH-95722-362"/>
    <x v="662"/>
    <x v="860"/>
    <s v="L-D-0.5"/>
    <n v="3"/>
    <x v="860"/>
    <s v="dgrittonq0@nydailynews.com"/>
    <x v="0"/>
    <x v="3"/>
    <s v="D"/>
    <x v="1"/>
    <n v="7.77"/>
    <x v="102"/>
    <x v="3"/>
    <x v="2"/>
    <x v="0"/>
  </r>
  <r>
    <s v="OLH-95722-362"/>
    <x v="662"/>
    <x v="860"/>
    <s v="R-M-2.5"/>
    <n v="4"/>
    <x v="860"/>
    <s v="dgrittonq0@nydailynews.com"/>
    <x v="0"/>
    <x v="0"/>
    <s v="M"/>
    <x v="2"/>
    <n v="22.884999999999998"/>
    <x v="21"/>
    <x v="0"/>
    <x v="0"/>
    <x v="0"/>
  </r>
  <r>
    <s v="KCW-50949-318"/>
    <x v="184"/>
    <x v="861"/>
    <s v="E-L-1"/>
    <n v="5"/>
    <x v="861"/>
    <s v="dgutq2@umich.edu"/>
    <x v="0"/>
    <x v="1"/>
    <s v="L"/>
    <x v="0"/>
    <n v="14.85"/>
    <x v="159"/>
    <x v="1"/>
    <x v="1"/>
    <x v="0"/>
  </r>
  <r>
    <s v="JGZ-16947-591"/>
    <x v="663"/>
    <x v="862"/>
    <s v="L-L-0.2"/>
    <n v="6"/>
    <x v="862"/>
    <s v="wpummeryq3@topsy.com"/>
    <x v="0"/>
    <x v="3"/>
    <s v="L"/>
    <x v="3"/>
    <n v="4.7549999999999999"/>
    <x v="32"/>
    <x v="3"/>
    <x v="1"/>
    <x v="1"/>
  </r>
  <r>
    <s v="LXS-63326-144"/>
    <x v="334"/>
    <x v="863"/>
    <s v="R-L-0.5"/>
    <n v="2"/>
    <x v="863"/>
    <s v="gsiudaq4@nytimes.com"/>
    <x v="0"/>
    <x v="0"/>
    <s v="L"/>
    <x v="1"/>
    <n v="7.169999999999999"/>
    <x v="79"/>
    <x v="0"/>
    <x v="1"/>
    <x v="0"/>
  </r>
  <r>
    <s v="CZG-86544-655"/>
    <x v="664"/>
    <x v="864"/>
    <s v="A-L-0.5"/>
    <n v="2"/>
    <x v="864"/>
    <s v="hcrowneq5@wufoo.com"/>
    <x v="1"/>
    <x v="2"/>
    <s v="L"/>
    <x v="1"/>
    <n v="7.77"/>
    <x v="42"/>
    <x v="2"/>
    <x v="1"/>
    <x v="0"/>
  </r>
  <r>
    <s v="WFV-88138-247"/>
    <x v="24"/>
    <x v="865"/>
    <s v="R-L-1"/>
    <n v="3"/>
    <x v="865"/>
    <s v="vpawseyq6@tiny.cc"/>
    <x v="0"/>
    <x v="0"/>
    <s v="L"/>
    <x v="0"/>
    <n v="11.95"/>
    <x v="66"/>
    <x v="0"/>
    <x v="1"/>
    <x v="1"/>
  </r>
  <r>
    <s v="RFG-28227-288"/>
    <x v="12"/>
    <x v="866"/>
    <s v="A-L-0.5"/>
    <n v="6"/>
    <x v="866"/>
    <s v="awaterhouseq7@istockphoto.com"/>
    <x v="0"/>
    <x v="2"/>
    <s v="L"/>
    <x v="1"/>
    <n v="7.77"/>
    <x v="162"/>
    <x v="2"/>
    <x v="1"/>
    <x v="1"/>
  </r>
  <r>
    <s v="QAK-77286-758"/>
    <x v="105"/>
    <x v="867"/>
    <s v="R-L-0.5"/>
    <n v="5"/>
    <x v="867"/>
    <s v="fhaughianq8@1688.com"/>
    <x v="0"/>
    <x v="0"/>
    <s v="L"/>
    <x v="1"/>
    <n v="7.169999999999999"/>
    <x v="66"/>
    <x v="0"/>
    <x v="1"/>
    <x v="1"/>
  </r>
  <r>
    <s v="CZD-56716-840"/>
    <x v="665"/>
    <x v="868"/>
    <s v="L-D-2.5"/>
    <n v="4"/>
    <x v="868"/>
    <s v=""/>
    <x v="0"/>
    <x v="3"/>
    <s v="D"/>
    <x v="2"/>
    <n v="29.784999999999997"/>
    <x v="129"/>
    <x v="3"/>
    <x v="2"/>
    <x v="1"/>
  </r>
  <r>
    <s v="UBI-59229-277"/>
    <x v="44"/>
    <x v="869"/>
    <s v="L-D-0.5"/>
    <n v="3"/>
    <x v="869"/>
    <s v=""/>
    <x v="0"/>
    <x v="3"/>
    <s v="D"/>
    <x v="1"/>
    <n v="7.77"/>
    <x v="102"/>
    <x v="3"/>
    <x v="2"/>
    <x v="1"/>
  </r>
  <r>
    <s v="WJJ-37489-898"/>
    <x v="171"/>
    <x v="870"/>
    <s v="A-M-1"/>
    <n v="1"/>
    <x v="870"/>
    <s v="rfaltinqb@topsy.com"/>
    <x v="1"/>
    <x v="2"/>
    <s v="M"/>
    <x v="0"/>
    <n v="11.25"/>
    <x v="23"/>
    <x v="2"/>
    <x v="0"/>
    <x v="1"/>
  </r>
  <r>
    <s v="ORX-57454-917"/>
    <x v="328"/>
    <x v="871"/>
    <s v="E-D-2.5"/>
    <n v="3"/>
    <x v="871"/>
    <s v="gcheekeqc@sitemeter.com"/>
    <x v="2"/>
    <x v="1"/>
    <s v="D"/>
    <x v="2"/>
    <n v="27.945"/>
    <x v="171"/>
    <x v="1"/>
    <x v="2"/>
    <x v="0"/>
  </r>
  <r>
    <s v="GRB-68838-629"/>
    <x v="648"/>
    <x v="872"/>
    <s v="R-L-2.5"/>
    <n v="4"/>
    <x v="872"/>
    <s v="grattqd@phpbb.com"/>
    <x v="1"/>
    <x v="0"/>
    <s v="L"/>
    <x v="2"/>
    <n v="27.484999999999996"/>
    <x v="108"/>
    <x v="0"/>
    <x v="1"/>
    <x v="1"/>
  </r>
  <r>
    <s v="SHT-04865-419"/>
    <x v="666"/>
    <x v="873"/>
    <s v="R-L-0.2"/>
    <n v="4"/>
    <x v="873"/>
    <s v=""/>
    <x v="0"/>
    <x v="0"/>
    <s v="L"/>
    <x v="3"/>
    <n v="3.5849999999999995"/>
    <x v="79"/>
    <x v="0"/>
    <x v="1"/>
    <x v="0"/>
  </r>
  <r>
    <s v="UQI-28177-865"/>
    <x v="577"/>
    <x v="874"/>
    <s v="R-L-0.2"/>
    <n v="6"/>
    <x v="874"/>
    <s v="ieberleinqf@hc360.com"/>
    <x v="0"/>
    <x v="0"/>
    <s v="L"/>
    <x v="3"/>
    <n v="3.5849999999999995"/>
    <x v="137"/>
    <x v="0"/>
    <x v="1"/>
    <x v="1"/>
  </r>
  <r>
    <s v="OIB-13664-879"/>
    <x v="114"/>
    <x v="875"/>
    <s v="A-M-1"/>
    <n v="2"/>
    <x v="875"/>
    <s v="jdrengqg@uiuc.edu"/>
    <x v="1"/>
    <x v="2"/>
    <s v="M"/>
    <x v="0"/>
    <n v="11.25"/>
    <x v="122"/>
    <x v="2"/>
    <x v="0"/>
    <x v="0"/>
  </r>
  <r>
    <s v="PJS-30996-485"/>
    <x v="4"/>
    <x v="857"/>
    <s v="A-L-0.2"/>
    <n v="1"/>
    <x v="857"/>
    <s v=""/>
    <x v="0"/>
    <x v="2"/>
    <s v="L"/>
    <x v="3"/>
    <n v="3.8849999999999998"/>
    <x v="84"/>
    <x v="2"/>
    <x v="1"/>
    <x v="0"/>
  </r>
  <r>
    <s v="HEL-86709-449"/>
    <x v="667"/>
    <x v="857"/>
    <s v="E-D-2.5"/>
    <n v="1"/>
    <x v="857"/>
    <s v=""/>
    <x v="0"/>
    <x v="1"/>
    <s v="D"/>
    <x v="2"/>
    <n v="27.945"/>
    <x v="140"/>
    <x v="1"/>
    <x v="2"/>
    <x v="0"/>
  </r>
  <r>
    <s v="NCH-55389-562"/>
    <x v="110"/>
    <x v="857"/>
    <s v="E-L-2.5"/>
    <n v="5"/>
    <x v="857"/>
    <s v=""/>
    <x v="0"/>
    <x v="1"/>
    <s v="L"/>
    <x v="2"/>
    <n v="34.154999999999994"/>
    <x v="11"/>
    <x v="1"/>
    <x v="1"/>
    <x v="0"/>
  </r>
  <r>
    <s v="NCH-55389-562"/>
    <x v="110"/>
    <x v="857"/>
    <s v="R-L-2.5"/>
    <n v="2"/>
    <x v="857"/>
    <s v=""/>
    <x v="0"/>
    <x v="0"/>
    <s v="L"/>
    <x v="2"/>
    <n v="27.484999999999996"/>
    <x v="4"/>
    <x v="0"/>
    <x v="1"/>
    <x v="0"/>
  </r>
  <r>
    <s v="NCH-55389-562"/>
    <x v="110"/>
    <x v="857"/>
    <s v="E-L-1"/>
    <n v="1"/>
    <x v="857"/>
    <s v=""/>
    <x v="0"/>
    <x v="1"/>
    <s v="L"/>
    <x v="0"/>
    <n v="14.85"/>
    <x v="151"/>
    <x v="1"/>
    <x v="1"/>
    <x v="0"/>
  </r>
  <r>
    <s v="NCH-55389-562"/>
    <x v="110"/>
    <x v="857"/>
    <s v="A-L-0.2"/>
    <n v="2"/>
    <x v="857"/>
    <s v=""/>
    <x v="0"/>
    <x v="2"/>
    <s v="L"/>
    <x v="3"/>
    <n v="3.8849999999999998"/>
    <x v="41"/>
    <x v="2"/>
    <x v="1"/>
    <x v="0"/>
  </r>
  <r>
    <s v="GUG-45603-775"/>
    <x v="668"/>
    <x v="876"/>
    <s v="L-L-0.2"/>
    <n v="5"/>
    <x v="876"/>
    <s v="rstrathernqn@devhub.com"/>
    <x v="0"/>
    <x v="3"/>
    <s v="L"/>
    <x v="3"/>
    <n v="4.7549999999999999"/>
    <x v="29"/>
    <x v="3"/>
    <x v="1"/>
    <x v="0"/>
  </r>
  <r>
    <s v="KJB-98240-098"/>
    <x v="422"/>
    <x v="877"/>
    <s v="L-L-1"/>
    <n v="5"/>
    <x v="877"/>
    <s v="cmiguelqo@exblog.jp"/>
    <x v="0"/>
    <x v="3"/>
    <s v="L"/>
    <x v="0"/>
    <n v="15.85"/>
    <x v="180"/>
    <x v="3"/>
    <x v="1"/>
    <x v="0"/>
  </r>
  <r>
    <s v="JMS-48374-462"/>
    <x v="669"/>
    <x v="878"/>
    <s v="A-D-2.5"/>
    <n v="2"/>
    <x v="878"/>
    <s v=""/>
    <x v="0"/>
    <x v="2"/>
    <s v="D"/>
    <x v="2"/>
    <n v="22.884999999999998"/>
    <x v="135"/>
    <x v="2"/>
    <x v="2"/>
    <x v="0"/>
  </r>
  <r>
    <s v="YIT-15877-117"/>
    <x v="670"/>
    <x v="879"/>
    <s v="R-D-1"/>
    <n v="1"/>
    <x v="879"/>
    <s v="mrocksqq@exblog.jp"/>
    <x v="1"/>
    <x v="0"/>
    <s v="D"/>
    <x v="0"/>
    <n v="8.9499999999999993"/>
    <x v="192"/>
    <x v="0"/>
    <x v="2"/>
    <x v="0"/>
  </r>
  <r>
    <s v="YVK-82679-655"/>
    <x v="341"/>
    <x v="880"/>
    <s v="R-M-0.5"/>
    <n v="4"/>
    <x v="880"/>
    <s v="yburrellsqr@vinaora.com"/>
    <x v="0"/>
    <x v="0"/>
    <s v="M"/>
    <x v="1"/>
    <n v="5.97"/>
    <x v="86"/>
    <x v="0"/>
    <x v="0"/>
    <x v="0"/>
  </r>
  <r>
    <s v="TYH-81940-054"/>
    <x v="671"/>
    <x v="881"/>
    <s v="E-L-0.2"/>
    <n v="5"/>
    <x v="881"/>
    <s v="cgoodrumqs@goodreads.com"/>
    <x v="0"/>
    <x v="1"/>
    <s v="L"/>
    <x v="3"/>
    <n v="4.4550000000000001"/>
    <x v="110"/>
    <x v="1"/>
    <x v="1"/>
    <x v="1"/>
  </r>
  <r>
    <s v="HTY-30660-254"/>
    <x v="672"/>
    <x v="882"/>
    <s v="R-M-1"/>
    <n v="3"/>
    <x v="882"/>
    <s v="jjefferysqt@blog.com"/>
    <x v="0"/>
    <x v="0"/>
    <s v="M"/>
    <x v="0"/>
    <n v="9.9499999999999993"/>
    <x v="44"/>
    <x v="0"/>
    <x v="0"/>
    <x v="0"/>
  </r>
  <r>
    <s v="GPW-43956-761"/>
    <x v="673"/>
    <x v="883"/>
    <s v="E-L-0.5"/>
    <n v="6"/>
    <x v="883"/>
    <s v="bwardellqu@adobe.com"/>
    <x v="0"/>
    <x v="1"/>
    <s v="L"/>
    <x v="1"/>
    <n v="8.91"/>
    <x v="119"/>
    <x v="1"/>
    <x v="1"/>
    <x v="0"/>
  </r>
  <r>
    <s v="DWY-56352-412"/>
    <x v="674"/>
    <x v="884"/>
    <s v="R-D-0.2"/>
    <n v="1"/>
    <x v="884"/>
    <s v="zwalisiakqv@ucsd.edu"/>
    <x v="1"/>
    <x v="0"/>
    <s v="D"/>
    <x v="3"/>
    <n v="2.6849999999999996"/>
    <x v="97"/>
    <x v="0"/>
    <x v="2"/>
    <x v="0"/>
  </r>
  <r>
    <s v="PUH-55647-976"/>
    <x v="675"/>
    <x v="885"/>
    <s v="R-M-0.2"/>
    <n v="2"/>
    <x v="885"/>
    <s v="wleopoldqw@blogspot.com"/>
    <x v="0"/>
    <x v="0"/>
    <s v="M"/>
    <x v="3"/>
    <n v="2.9849999999999999"/>
    <x v="9"/>
    <x v="0"/>
    <x v="0"/>
    <x v="1"/>
  </r>
  <r>
    <s v="DTB-71371-705"/>
    <x v="539"/>
    <x v="886"/>
    <s v="L-D-1"/>
    <n v="1"/>
    <x v="886"/>
    <s v="cshaldersqx@cisco.com"/>
    <x v="0"/>
    <x v="3"/>
    <s v="D"/>
    <x v="0"/>
    <n v="12.95"/>
    <x v="2"/>
    <x v="3"/>
    <x v="2"/>
    <x v="0"/>
  </r>
  <r>
    <s v="ZDC-64769-740"/>
    <x v="676"/>
    <x v="887"/>
    <s v="E-M-0.5"/>
    <n v="1"/>
    <x v="887"/>
    <s v=""/>
    <x v="0"/>
    <x v="1"/>
    <s v="M"/>
    <x v="1"/>
    <n v="8.25"/>
    <x v="112"/>
    <x v="1"/>
    <x v="0"/>
    <x v="1"/>
  </r>
  <r>
    <s v="TED-81959-419"/>
    <x v="677"/>
    <x v="888"/>
    <s v="A-L-2.5"/>
    <n v="5"/>
    <x v="888"/>
    <s v="nfurberqz@jugem.jp"/>
    <x v="0"/>
    <x v="2"/>
    <s v="L"/>
    <x v="2"/>
    <n v="29.784999999999997"/>
    <x v="74"/>
    <x v="2"/>
    <x v="1"/>
    <x v="1"/>
  </r>
  <r>
    <s v="FDO-25756-141"/>
    <x v="629"/>
    <x v="889"/>
    <s v="A-L-2.5"/>
    <n v="3"/>
    <x v="889"/>
    <s v=""/>
    <x v="1"/>
    <x v="2"/>
    <s v="L"/>
    <x v="2"/>
    <n v="29.784999999999997"/>
    <x v="49"/>
    <x v="2"/>
    <x v="1"/>
    <x v="0"/>
  </r>
  <r>
    <s v="HKN-31467-517"/>
    <x v="662"/>
    <x v="890"/>
    <s v="L-M-1"/>
    <n v="6"/>
    <x v="890"/>
    <s v="ckeaver1@ucoz.com"/>
    <x v="0"/>
    <x v="3"/>
    <s v="M"/>
    <x v="0"/>
    <n v="14.55"/>
    <x v="75"/>
    <x v="3"/>
    <x v="0"/>
    <x v="1"/>
  </r>
  <r>
    <s v="POF-29666-012"/>
    <x v="102"/>
    <x v="891"/>
    <s v="R-D-0.5"/>
    <n v="1"/>
    <x v="891"/>
    <s v="sroseboroughr2@virginia.edu"/>
    <x v="0"/>
    <x v="0"/>
    <s v="D"/>
    <x v="1"/>
    <n v="5.3699999999999992"/>
    <x v="147"/>
    <x v="0"/>
    <x v="2"/>
    <x v="0"/>
  </r>
  <r>
    <s v="IRX-59256-644"/>
    <x v="678"/>
    <x v="892"/>
    <s v="A-D-0.2"/>
    <n v="3"/>
    <x v="892"/>
    <s v="ckingwellr3@squarespace.com"/>
    <x v="1"/>
    <x v="2"/>
    <s v="D"/>
    <x v="3"/>
    <n v="2.9849999999999999"/>
    <x v="169"/>
    <x v="2"/>
    <x v="2"/>
    <x v="0"/>
  </r>
  <r>
    <s v="LTN-89139-350"/>
    <x v="679"/>
    <x v="893"/>
    <s v="R-L-2.5"/>
    <n v="5"/>
    <x v="893"/>
    <s v="kcantor4@gmpg.org"/>
    <x v="0"/>
    <x v="0"/>
    <s v="L"/>
    <x v="2"/>
    <n v="27.484999999999996"/>
    <x v="187"/>
    <x v="0"/>
    <x v="1"/>
    <x v="0"/>
  </r>
  <r>
    <s v="TXF-79780-017"/>
    <x v="112"/>
    <x v="894"/>
    <s v="R-L-1"/>
    <n v="5"/>
    <x v="894"/>
    <s v="mblakemorer5@nsw.gov.au"/>
    <x v="0"/>
    <x v="0"/>
    <s v="L"/>
    <x v="0"/>
    <n v="11.95"/>
    <x v="143"/>
    <x v="0"/>
    <x v="1"/>
    <x v="1"/>
  </r>
  <r>
    <s v="ALM-80762-974"/>
    <x v="55"/>
    <x v="890"/>
    <s v="A-L-0.5"/>
    <n v="3"/>
    <x v="890"/>
    <s v="ckeaver1@ucoz.com"/>
    <x v="0"/>
    <x v="2"/>
    <s v="L"/>
    <x v="1"/>
    <n v="7.77"/>
    <x v="102"/>
    <x v="2"/>
    <x v="1"/>
    <x v="1"/>
  </r>
  <r>
    <s v="NXF-15738-707"/>
    <x v="680"/>
    <x v="895"/>
    <s v="R-D-0.5"/>
    <n v="2"/>
    <x v="895"/>
    <s v=""/>
    <x v="0"/>
    <x v="0"/>
    <s v="D"/>
    <x v="1"/>
    <n v="5.3699999999999992"/>
    <x v="175"/>
    <x v="0"/>
    <x v="2"/>
    <x v="1"/>
  </r>
  <r>
    <s v="MVV-19034-198"/>
    <x v="94"/>
    <x v="896"/>
    <s v="E-D-2.5"/>
    <n v="6"/>
    <x v="896"/>
    <s v=""/>
    <x v="0"/>
    <x v="1"/>
    <s v="D"/>
    <x v="2"/>
    <n v="27.945"/>
    <x v="164"/>
    <x v="1"/>
    <x v="2"/>
    <x v="0"/>
  </r>
  <r>
    <s v="KUX-19632-830"/>
    <x v="160"/>
    <x v="897"/>
    <s v="E-D-0.2"/>
    <n v="6"/>
    <x v="897"/>
    <s v="cbernardotr9@wix.com"/>
    <x v="0"/>
    <x v="1"/>
    <s v="D"/>
    <x v="3"/>
    <n v="3.645"/>
    <x v="6"/>
    <x v="1"/>
    <x v="2"/>
    <x v="0"/>
  </r>
  <r>
    <s v="SNZ-44595-152"/>
    <x v="681"/>
    <x v="898"/>
    <s v="R-L-1"/>
    <n v="2"/>
    <x v="898"/>
    <s v="kkemeryra@t.co"/>
    <x v="0"/>
    <x v="0"/>
    <s v="L"/>
    <x v="0"/>
    <n v="11.95"/>
    <x v="178"/>
    <x v="0"/>
    <x v="1"/>
    <x v="0"/>
  </r>
  <r>
    <s v="GQA-37241-629"/>
    <x v="502"/>
    <x v="899"/>
    <s v="A-M-0.2"/>
    <n v="2"/>
    <x v="899"/>
    <s v="fparlotrb@forbes.com"/>
    <x v="0"/>
    <x v="2"/>
    <s v="M"/>
    <x v="3"/>
    <n v="3.375"/>
    <x v="52"/>
    <x v="2"/>
    <x v="0"/>
    <x v="0"/>
  </r>
  <r>
    <s v="WVV-79948-067"/>
    <x v="682"/>
    <x v="900"/>
    <s v="E-M-2.5"/>
    <n v="1"/>
    <x v="900"/>
    <s v="rcheakrc@tripadvisor.com"/>
    <x v="1"/>
    <x v="1"/>
    <s v="M"/>
    <x v="2"/>
    <n v="31.624999999999996"/>
    <x v="176"/>
    <x v="1"/>
    <x v="0"/>
    <x v="0"/>
  </r>
  <r>
    <s v="LHX-81117-166"/>
    <x v="683"/>
    <x v="901"/>
    <s v="R-L-1"/>
    <n v="4"/>
    <x v="901"/>
    <s v="kogeneayrd@utexas.edu"/>
    <x v="0"/>
    <x v="0"/>
    <s v="L"/>
    <x v="0"/>
    <n v="11.95"/>
    <x v="62"/>
    <x v="0"/>
    <x v="1"/>
    <x v="1"/>
  </r>
  <r>
    <s v="GCD-75444-320"/>
    <x v="594"/>
    <x v="902"/>
    <s v="L-M-2.5"/>
    <n v="1"/>
    <x v="902"/>
    <s v="cayrere@symantec.com"/>
    <x v="0"/>
    <x v="3"/>
    <s v="M"/>
    <x v="2"/>
    <n v="33.464999999999996"/>
    <x v="116"/>
    <x v="3"/>
    <x v="0"/>
    <x v="1"/>
  </r>
  <r>
    <s v="SGA-30059-217"/>
    <x v="389"/>
    <x v="903"/>
    <s v="A-D-0.5"/>
    <n v="5"/>
    <x v="903"/>
    <s v="lkynetonrf@macromedia.com"/>
    <x v="2"/>
    <x v="2"/>
    <s v="D"/>
    <x v="1"/>
    <n v="5.97"/>
    <x v="44"/>
    <x v="2"/>
    <x v="2"/>
    <x v="0"/>
  </r>
  <r>
    <s v="GNL-98714-885"/>
    <x v="583"/>
    <x v="904"/>
    <s v="R-M-1"/>
    <n v="3"/>
    <x v="904"/>
    <s v=""/>
    <x v="2"/>
    <x v="0"/>
    <s v="M"/>
    <x v="0"/>
    <n v="9.9499999999999993"/>
    <x v="44"/>
    <x v="0"/>
    <x v="0"/>
    <x v="0"/>
  </r>
  <r>
    <s v="OQA-93249-841"/>
    <x v="647"/>
    <x v="905"/>
    <s v="A-M-2.5"/>
    <n v="6"/>
    <x v="905"/>
    <s v=""/>
    <x v="0"/>
    <x v="2"/>
    <s v="M"/>
    <x v="2"/>
    <n v="25.874999999999996"/>
    <x v="71"/>
    <x v="2"/>
    <x v="0"/>
    <x v="0"/>
  </r>
  <r>
    <s v="DUV-12075-132"/>
    <x v="366"/>
    <x v="906"/>
    <s v="E-D-0.2"/>
    <n v="5"/>
    <x v="906"/>
    <s v=""/>
    <x v="0"/>
    <x v="1"/>
    <s v="D"/>
    <x v="3"/>
    <n v="3.645"/>
    <x v="94"/>
    <x v="1"/>
    <x v="2"/>
    <x v="1"/>
  </r>
  <r>
    <s v="DUV-12075-132"/>
    <x v="366"/>
    <x v="906"/>
    <s v="L-D-0.5"/>
    <n v="2"/>
    <x v="906"/>
    <s v=""/>
    <x v="0"/>
    <x v="3"/>
    <s v="D"/>
    <x v="1"/>
    <n v="7.77"/>
    <x v="42"/>
    <x v="3"/>
    <x v="2"/>
    <x v="1"/>
  </r>
  <r>
    <s v="KPO-24942-184"/>
    <x v="684"/>
    <x v="907"/>
    <s v="L-L-2.5"/>
    <n v="3"/>
    <x v="907"/>
    <s v=""/>
    <x v="1"/>
    <x v="3"/>
    <s v="L"/>
    <x v="2"/>
    <n v="36.454999999999998"/>
    <x v="63"/>
    <x v="3"/>
    <x v="1"/>
    <x v="1"/>
  </r>
  <r>
    <s v="SRJ-79353-838"/>
    <x v="506"/>
    <x v="908"/>
    <s v="A-L-1"/>
    <n v="6"/>
    <x v="908"/>
    <s v=""/>
    <x v="0"/>
    <x v="2"/>
    <s v="L"/>
    <x v="0"/>
    <n v="12.95"/>
    <x v="17"/>
    <x v="2"/>
    <x v="1"/>
    <x v="1"/>
  </r>
  <r>
    <s v="XBV-40336-071"/>
    <x v="685"/>
    <x v="909"/>
    <s v="A-D-0.2"/>
    <n v="3"/>
    <x v="909"/>
    <s v=""/>
    <x v="1"/>
    <x v="2"/>
    <s v="D"/>
    <x v="3"/>
    <n v="2.9849999999999999"/>
    <x v="169"/>
    <x v="2"/>
    <x v="2"/>
    <x v="1"/>
  </r>
  <r>
    <s v="RLM-96511-467"/>
    <x v="191"/>
    <x v="910"/>
    <s v="R-L-2.5"/>
    <n v="1"/>
    <x v="910"/>
    <s v="jtewelsonrn@samsung.com"/>
    <x v="0"/>
    <x v="0"/>
    <s v="L"/>
    <x v="2"/>
    <n v="27.484999999999996"/>
    <x v="142"/>
    <x v="0"/>
    <x v="1"/>
    <x v="1"/>
  </r>
  <r>
    <s v="AEZ-13242-456"/>
    <x v="686"/>
    <x v="906"/>
    <s v="R-M-0.5"/>
    <n v="5"/>
    <x v="906"/>
    <s v=""/>
    <x v="0"/>
    <x v="0"/>
    <s v="M"/>
    <x v="1"/>
    <n v="5.97"/>
    <x v="44"/>
    <x v="0"/>
    <x v="0"/>
    <x v="1"/>
  </r>
  <r>
    <s v="UME-75640-698"/>
    <x v="687"/>
    <x v="906"/>
    <s v="A-M-0.5"/>
    <n v="4"/>
    <x v="906"/>
    <s v=""/>
    <x v="0"/>
    <x v="2"/>
    <s v="M"/>
    <x v="1"/>
    <n v="6.75"/>
    <x v="25"/>
    <x v="2"/>
    <x v="0"/>
    <x v="1"/>
  </r>
  <r>
    <s v="GJC-66474-557"/>
    <x v="629"/>
    <x v="911"/>
    <s v="A-D-1"/>
    <n v="1"/>
    <x v="911"/>
    <s v="njennyrq@bigcartel.com"/>
    <x v="0"/>
    <x v="2"/>
    <s v="D"/>
    <x v="0"/>
    <n v="9.9499999999999993"/>
    <x v="138"/>
    <x v="2"/>
    <x v="2"/>
    <x v="1"/>
  </r>
  <r>
    <s v="IRV-20769-219"/>
    <x v="688"/>
    <x v="912"/>
    <s v="E-M-0.2"/>
    <n v="3"/>
    <x v="912"/>
    <s v=""/>
    <x v="2"/>
    <x v="1"/>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50372A-C8F1-4FB4-96C6-EFB5790A2273}" name="Top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C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h="1" x="1"/>
        <item h="1" x="3"/>
        <item h="1"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1">
    <i>
      <x/>
    </i>
  </colItems>
  <dataFields count="1">
    <dataField name="Sum of Sales" fld="12" baseField="15" baseItem="2" numFmtId="3"/>
  </dataFields>
  <chartFormats count="10">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1" format="2" series="1">
      <pivotArea type="data" outline="0" fieldPosition="0">
        <references count="2">
          <reference field="4294967294" count="1" selected="0">
            <x v="0"/>
          </reference>
          <reference field="13" count="1" selected="0">
            <x v="2"/>
          </reference>
        </references>
      </pivotArea>
    </chartFormat>
    <chartFormat chart="11" format="3" series="1">
      <pivotArea type="data" outline="0" fieldPosition="0">
        <references count="2">
          <reference field="4294967294" count="1" selected="0">
            <x v="0"/>
          </reference>
          <reference field="13" count="1" selected="0">
            <x v="3"/>
          </reference>
        </references>
      </pivotArea>
    </chartFormat>
    <chartFormat chart="16" format="8" series="1">
      <pivotArea type="data" outline="0" fieldPosition="0">
        <references count="2">
          <reference field="4294967294" count="1" selected="0">
            <x v="0"/>
          </reference>
          <reference field="13" count="1" selected="0">
            <x v="0"/>
          </reference>
        </references>
      </pivotArea>
    </chartFormat>
    <chartFormat chart="16" format="9" series="1">
      <pivotArea type="data" outline="0" fieldPosition="0">
        <references count="2">
          <reference field="4294967294" count="1" selected="0">
            <x v="0"/>
          </reference>
          <reference field="13" count="1" selected="0">
            <x v="1"/>
          </reference>
        </references>
      </pivotArea>
    </chartFormat>
    <chartFormat chart="16" format="10" series="1">
      <pivotArea type="data" outline="0" fieldPosition="0">
        <references count="2">
          <reference field="4294967294" count="1" selected="0">
            <x v="0"/>
          </reference>
          <reference field="13" count="1" selected="0">
            <x v="2"/>
          </reference>
        </references>
      </pivotArea>
    </chartFormat>
    <chartFormat chart="16" format="11" series="1">
      <pivotArea type="data" outline="0" fieldPosition="0">
        <references count="2">
          <reference field="4294967294" count="1" selected="0">
            <x v="0"/>
          </reference>
          <reference field="13" count="1" selected="0">
            <x v="3"/>
          </reference>
        </references>
      </pivotArea>
    </chartFormat>
    <chartFormat chart="16" format="1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D38897-4B49-4E7D-BF5F-BFA10A3BB19D}" name="Top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A4" firstHeaderRow="1" firstDataRow="1" firstDataCol="0"/>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h="1" x="1"/>
        <item h="1" x="3"/>
        <item h="1"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Items count="1">
    <i/>
  </rowItems>
  <colItems count="1">
    <i/>
  </colItems>
  <dataFields count="1">
    <dataField name="Sum of Sales" fld="12" baseField="0" baseItem="0" numFmtId="169"/>
  </dataFields>
  <chartFormats count="3">
    <chartFormat chart="16" format="1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EFCAB-7B6F-4868-BB75-970116F8D7F2}" name="Top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4" firstHeaderRow="1" firstDataRow="1" firstDataCol="1"/>
  <pivotFields count="18">
    <pivotField dataField="1"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axis="axisRow" compact="0" outline="0" showAll="0" sortType="descending" defaultSubtotal="0">
      <items count="4">
        <item x="2"/>
        <item h="1" sd="0" x="1"/>
        <item h="1" sd="0" x="3"/>
        <item h="1" sd="0" x="0"/>
      </items>
      <autoSortScope>
        <pivotArea dataOnly="0" outline="0" fieldPosition="0">
          <references count="1">
            <reference field="4294967294" count="1" selected="0">
              <x v="0"/>
            </reference>
          </references>
        </pivotArea>
      </autoSortScope>
    </pivotField>
    <pivotField compact="0" outline="0" showAll="0" defaultSubtotal="0">
      <items count="3">
        <item x="2"/>
        <item sd="0" x="1"/>
        <item x="0"/>
      </items>
    </pivotField>
    <pivotField compact="0" outline="0" subtotalTop="0" showAll="0" defaultSubtotal="0">
      <items count="2">
        <item x="1"/>
        <item x="0"/>
      </items>
    </pivotField>
    <pivotField compact="0" outline="0" showAll="0" defaultSubtotal="0">
      <items count="14">
        <item x="0"/>
        <item sd="0" x="1"/>
        <item sd="0" x="2"/>
        <item sd="0" x="3"/>
        <item sd="0" x="4"/>
        <item sd="0" x="5"/>
        <item sd="0" x="6"/>
        <item sd="0" x="7"/>
        <item x="8"/>
        <item sd="0" x="9"/>
        <item sd="0" x="10"/>
        <item sd="0" x="11"/>
        <item sd="0" x="12"/>
        <item x="13"/>
      </items>
    </pivotField>
    <pivotField compact="0" outline="0" showAll="0" defaultSubtotal="0">
      <items count="6">
        <item x="0"/>
        <item x="1"/>
        <item x="2"/>
        <item x="3"/>
        <item x="4"/>
        <item x="5"/>
      </items>
    </pivotField>
  </pivotFields>
  <rowFields count="1">
    <field x="13"/>
  </rowFields>
  <rowItems count="1">
    <i>
      <x/>
    </i>
  </rowItems>
  <colItems count="1">
    <i/>
  </colItems>
  <dataFields count="1">
    <dataField name="Count of Order ID" fld="0"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4FC842-165C-4F90-8B7E-F2B8B6A0DB31}" name="Top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15"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h="1" sd="0" x="1"/>
        <item h="1" sd="0" x="3"/>
        <item h="1" sd="0" x="0"/>
      </items>
    </pivotField>
    <pivotField compact="0" outline="0" showAll="0" defaultSubtotal="0">
      <items count="3">
        <item x="2"/>
        <item sd="0" x="1"/>
        <item x="0"/>
      </items>
    </pivotField>
    <pivotField compact="0" outline="0" subtotalTop="0" showAll="0" defaultSubtotal="0">
      <items count="2">
        <item x="1"/>
        <item x="0"/>
      </items>
    </pivotField>
    <pivotField axis="axisRow" compact="0" outline="0" showAll="0" sortType="descending" defaultSubtotal="0">
      <items count="14">
        <item x="0"/>
        <item sd="0" x="1"/>
        <item sd="0" x="2"/>
        <item sd="0" x="3"/>
        <item sd="0" x="4"/>
        <item sd="0" x="5"/>
        <item sd="0" x="6"/>
        <item sd="0" x="7"/>
        <item x="8"/>
        <item sd="0" x="9"/>
        <item sd="0" x="10"/>
        <item sd="0" x="11"/>
        <item sd="0" x="12"/>
        <item x="13"/>
      </items>
      <autoSortScope>
        <pivotArea dataOnly="0" outline="0" fieldPosition="0">
          <references count="1">
            <reference field="4294967294" count="1" selected="0">
              <x v="0"/>
            </reference>
          </references>
        </pivotArea>
      </autoSortScope>
    </pivotField>
    <pivotField compact="0" outline="0" showAll="0" defaultSubtotal="0">
      <items count="6">
        <item x="0"/>
        <item x="1"/>
        <item x="2"/>
        <item x="3"/>
        <item x="4"/>
        <item x="5"/>
      </items>
    </pivotField>
  </pivotFields>
  <rowFields count="1">
    <field x="16"/>
  </rowFields>
  <rowItems count="12">
    <i>
      <x v="2"/>
    </i>
    <i>
      <x v="6"/>
    </i>
    <i>
      <x v="11"/>
    </i>
    <i>
      <x v="9"/>
    </i>
    <i>
      <x v="7"/>
    </i>
    <i>
      <x v="3"/>
    </i>
    <i>
      <x v="10"/>
    </i>
    <i>
      <x v="8"/>
    </i>
    <i>
      <x v="12"/>
    </i>
    <i>
      <x v="5"/>
    </i>
    <i>
      <x v="4"/>
    </i>
    <i>
      <x v="1"/>
    </i>
  </rowItems>
  <colItems count="1">
    <i/>
  </colItems>
  <dataFields count="1">
    <dataField name="Sum of Sales" fld="12" baseField="15" baseItem="2" numFmtId="3"/>
  </dataFields>
  <chartFormats count="3">
    <chartFormat chart="16" format="1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CC2A11-0278-43C9-8A99-696D1203BC38}" name="TopSales"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compact="0" compactData="0" multipleFieldFilters="0" chartFormat="20">
  <location ref="A3:B261"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axis="axisRow" dataField="1" compact="0" outline="0" showAll="0" defaultSubtotal="0">
      <items count="913">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compact="0" outline="0" showAll="0" defaultSubtotal="0">
      <items count="4">
        <item x="2"/>
        <item h="1" sd="0" x="1"/>
        <item h="1" sd="0" x="3"/>
        <item h="1" sd="0" x="0"/>
      </items>
    </pivotField>
    <pivotField compact="0" outline="0" showAll="0" defaultSubtotal="0">
      <items count="3">
        <item x="2"/>
        <item sd="0" x="1"/>
        <item x="0"/>
      </items>
    </pivotField>
    <pivotField compact="0" outline="0" subtotalTop="0" showAll="0" defaultSubtotal="0">
      <items count="2">
        <item x="1"/>
        <item x="0"/>
      </items>
    </pivotField>
    <pivotField compact="0" outline="0" showAll="0" defaultSubtotal="0">
      <items count="14">
        <item x="0"/>
        <item sd="0" x="1"/>
        <item sd="0" x="2"/>
        <item sd="0" x="3"/>
        <item sd="0" x="4"/>
        <item sd="0" x="5"/>
        <item sd="0" x="6"/>
        <item sd="0" x="7"/>
        <item x="8"/>
        <item sd="0" x="9"/>
        <item sd="0" x="10"/>
        <item sd="0" x="11"/>
        <item sd="0" x="12"/>
        <item x="13"/>
      </items>
    </pivotField>
    <pivotField compact="0" outline="0" showAll="0" defaultSubtotal="0">
      <items count="6">
        <item x="0"/>
        <item x="1"/>
        <item x="2"/>
        <item x="3"/>
        <item x="4"/>
        <item x="5"/>
      </items>
    </pivotField>
  </pivotFields>
  <rowFields count="1">
    <field x="2"/>
  </rowFields>
  <rowItems count="258">
    <i>
      <x v="1"/>
    </i>
    <i>
      <x v="2"/>
    </i>
    <i>
      <x v="6"/>
    </i>
    <i>
      <x v="7"/>
    </i>
    <i>
      <x v="10"/>
    </i>
    <i>
      <x v="14"/>
    </i>
    <i>
      <x v="23"/>
    </i>
    <i>
      <x v="24"/>
    </i>
    <i>
      <x v="25"/>
    </i>
    <i>
      <x v="28"/>
    </i>
    <i>
      <x v="34"/>
    </i>
    <i>
      <x v="37"/>
    </i>
    <i>
      <x v="39"/>
    </i>
    <i>
      <x v="46"/>
    </i>
    <i>
      <x v="52"/>
    </i>
    <i>
      <x v="54"/>
    </i>
    <i>
      <x v="55"/>
    </i>
    <i>
      <x v="56"/>
    </i>
    <i>
      <x v="58"/>
    </i>
    <i>
      <x v="59"/>
    </i>
    <i>
      <x v="70"/>
    </i>
    <i>
      <x v="71"/>
    </i>
    <i>
      <x v="72"/>
    </i>
    <i>
      <x v="77"/>
    </i>
    <i>
      <x v="79"/>
    </i>
    <i>
      <x v="90"/>
    </i>
    <i>
      <x v="93"/>
    </i>
    <i>
      <x v="97"/>
    </i>
    <i>
      <x v="107"/>
    </i>
    <i>
      <x v="108"/>
    </i>
    <i>
      <x v="110"/>
    </i>
    <i>
      <x v="111"/>
    </i>
    <i>
      <x v="116"/>
    </i>
    <i>
      <x v="117"/>
    </i>
    <i>
      <x v="119"/>
    </i>
    <i>
      <x v="120"/>
    </i>
    <i>
      <x v="122"/>
    </i>
    <i>
      <x v="126"/>
    </i>
    <i>
      <x v="131"/>
    </i>
    <i>
      <x v="134"/>
    </i>
    <i>
      <x v="136"/>
    </i>
    <i>
      <x v="138"/>
    </i>
    <i>
      <x v="139"/>
    </i>
    <i>
      <x v="146"/>
    </i>
    <i>
      <x v="147"/>
    </i>
    <i>
      <x v="156"/>
    </i>
    <i>
      <x v="157"/>
    </i>
    <i>
      <x v="167"/>
    </i>
    <i>
      <x v="173"/>
    </i>
    <i>
      <x v="176"/>
    </i>
    <i>
      <x v="177"/>
    </i>
    <i>
      <x v="181"/>
    </i>
    <i>
      <x v="187"/>
    </i>
    <i>
      <x v="188"/>
    </i>
    <i>
      <x v="193"/>
    </i>
    <i>
      <x v="195"/>
    </i>
    <i>
      <x v="197"/>
    </i>
    <i>
      <x v="200"/>
    </i>
    <i>
      <x v="206"/>
    </i>
    <i>
      <x v="213"/>
    </i>
    <i>
      <x v="222"/>
    </i>
    <i>
      <x v="225"/>
    </i>
    <i>
      <x v="226"/>
    </i>
    <i>
      <x v="229"/>
    </i>
    <i>
      <x v="232"/>
    </i>
    <i>
      <x v="233"/>
    </i>
    <i>
      <x v="236"/>
    </i>
    <i>
      <x v="237"/>
    </i>
    <i>
      <x v="239"/>
    </i>
    <i>
      <x v="242"/>
    </i>
    <i>
      <x v="243"/>
    </i>
    <i>
      <x v="247"/>
    </i>
    <i>
      <x v="253"/>
    </i>
    <i>
      <x v="255"/>
    </i>
    <i>
      <x v="261"/>
    </i>
    <i>
      <x v="266"/>
    </i>
    <i>
      <x v="275"/>
    </i>
    <i>
      <x v="277"/>
    </i>
    <i>
      <x v="278"/>
    </i>
    <i>
      <x v="281"/>
    </i>
    <i>
      <x v="283"/>
    </i>
    <i>
      <x v="288"/>
    </i>
    <i>
      <x v="296"/>
    </i>
    <i>
      <x v="300"/>
    </i>
    <i>
      <x v="313"/>
    </i>
    <i>
      <x v="320"/>
    </i>
    <i>
      <x v="323"/>
    </i>
    <i>
      <x v="328"/>
    </i>
    <i>
      <x v="331"/>
    </i>
    <i>
      <x v="339"/>
    </i>
    <i>
      <x v="343"/>
    </i>
    <i>
      <x v="346"/>
    </i>
    <i>
      <x v="348"/>
    </i>
    <i>
      <x v="351"/>
    </i>
    <i>
      <x v="358"/>
    </i>
    <i>
      <x v="359"/>
    </i>
    <i>
      <x v="364"/>
    </i>
    <i>
      <x v="377"/>
    </i>
    <i>
      <x v="382"/>
    </i>
    <i>
      <x v="383"/>
    </i>
    <i>
      <x v="384"/>
    </i>
    <i>
      <x v="386"/>
    </i>
    <i>
      <x v="388"/>
    </i>
    <i>
      <x v="389"/>
    </i>
    <i>
      <x v="398"/>
    </i>
    <i>
      <x v="401"/>
    </i>
    <i>
      <x v="403"/>
    </i>
    <i>
      <x v="404"/>
    </i>
    <i>
      <x v="405"/>
    </i>
    <i>
      <x v="409"/>
    </i>
    <i>
      <x v="410"/>
    </i>
    <i>
      <x v="411"/>
    </i>
    <i>
      <x v="412"/>
    </i>
    <i>
      <x v="413"/>
    </i>
    <i>
      <x v="415"/>
    </i>
    <i>
      <x v="421"/>
    </i>
    <i>
      <x v="422"/>
    </i>
    <i>
      <x v="431"/>
    </i>
    <i>
      <x v="438"/>
    </i>
    <i>
      <x v="443"/>
    </i>
    <i>
      <x v="447"/>
    </i>
    <i>
      <x v="451"/>
    </i>
    <i>
      <x v="456"/>
    </i>
    <i>
      <x v="459"/>
    </i>
    <i>
      <x v="464"/>
    </i>
    <i>
      <x v="465"/>
    </i>
    <i>
      <x v="470"/>
    </i>
    <i>
      <x v="479"/>
    </i>
    <i>
      <x v="481"/>
    </i>
    <i>
      <x v="482"/>
    </i>
    <i>
      <x v="487"/>
    </i>
    <i>
      <x v="496"/>
    </i>
    <i>
      <x v="502"/>
    </i>
    <i>
      <x v="505"/>
    </i>
    <i>
      <x v="510"/>
    </i>
    <i>
      <x v="513"/>
    </i>
    <i>
      <x v="520"/>
    </i>
    <i>
      <x v="521"/>
    </i>
    <i>
      <x v="522"/>
    </i>
    <i>
      <x v="524"/>
    </i>
    <i>
      <x v="526"/>
    </i>
    <i>
      <x v="529"/>
    </i>
    <i>
      <x v="532"/>
    </i>
    <i>
      <x v="533"/>
    </i>
    <i>
      <x v="535"/>
    </i>
    <i>
      <x v="537"/>
    </i>
    <i>
      <x v="545"/>
    </i>
    <i>
      <x v="550"/>
    </i>
    <i>
      <x v="551"/>
    </i>
    <i>
      <x v="555"/>
    </i>
    <i>
      <x v="558"/>
    </i>
    <i>
      <x v="559"/>
    </i>
    <i>
      <x v="561"/>
    </i>
    <i>
      <x v="563"/>
    </i>
    <i>
      <x v="565"/>
    </i>
    <i>
      <x v="572"/>
    </i>
    <i>
      <x v="574"/>
    </i>
    <i>
      <x v="580"/>
    </i>
    <i>
      <x v="582"/>
    </i>
    <i>
      <x v="584"/>
    </i>
    <i>
      <x v="588"/>
    </i>
    <i>
      <x v="595"/>
    </i>
    <i>
      <x v="597"/>
    </i>
    <i>
      <x v="600"/>
    </i>
    <i>
      <x v="603"/>
    </i>
    <i>
      <x v="607"/>
    </i>
    <i>
      <x v="612"/>
    </i>
    <i>
      <x v="616"/>
    </i>
    <i>
      <x v="617"/>
    </i>
    <i>
      <x v="618"/>
    </i>
    <i>
      <x v="627"/>
    </i>
    <i>
      <x v="629"/>
    </i>
    <i>
      <x v="630"/>
    </i>
    <i>
      <x v="635"/>
    </i>
    <i>
      <x v="638"/>
    </i>
    <i>
      <x v="643"/>
    </i>
    <i>
      <x v="649"/>
    </i>
    <i>
      <x v="658"/>
    </i>
    <i>
      <x v="666"/>
    </i>
    <i>
      <x v="667"/>
    </i>
    <i>
      <x v="670"/>
    </i>
    <i>
      <x v="671"/>
    </i>
    <i>
      <x v="680"/>
    </i>
    <i>
      <x v="681"/>
    </i>
    <i>
      <x v="682"/>
    </i>
    <i>
      <x v="686"/>
    </i>
    <i>
      <x v="693"/>
    </i>
    <i>
      <x v="694"/>
    </i>
    <i>
      <x v="700"/>
    </i>
    <i>
      <x v="701"/>
    </i>
    <i>
      <x v="705"/>
    </i>
    <i>
      <x v="706"/>
    </i>
    <i>
      <x v="711"/>
    </i>
    <i>
      <x v="712"/>
    </i>
    <i>
      <x v="718"/>
    </i>
    <i>
      <x v="719"/>
    </i>
    <i>
      <x v="722"/>
    </i>
    <i>
      <x v="725"/>
    </i>
    <i>
      <x v="730"/>
    </i>
    <i>
      <x v="732"/>
    </i>
    <i>
      <x v="735"/>
    </i>
    <i>
      <x v="737"/>
    </i>
    <i>
      <x v="739"/>
    </i>
    <i>
      <x v="741"/>
    </i>
    <i>
      <x v="743"/>
    </i>
    <i>
      <x v="744"/>
    </i>
    <i>
      <x v="745"/>
    </i>
    <i>
      <x v="755"/>
    </i>
    <i>
      <x v="759"/>
    </i>
    <i>
      <x v="760"/>
    </i>
    <i>
      <x v="761"/>
    </i>
    <i>
      <x v="765"/>
    </i>
    <i>
      <x v="767"/>
    </i>
    <i>
      <x v="769"/>
    </i>
    <i>
      <x v="770"/>
    </i>
    <i>
      <x v="778"/>
    </i>
    <i>
      <x v="780"/>
    </i>
    <i>
      <x v="783"/>
    </i>
    <i>
      <x v="785"/>
    </i>
    <i>
      <x v="797"/>
    </i>
    <i>
      <x v="798"/>
    </i>
    <i>
      <x v="799"/>
    </i>
    <i>
      <x v="803"/>
    </i>
    <i>
      <x v="806"/>
    </i>
    <i>
      <x v="807"/>
    </i>
    <i>
      <x v="815"/>
    </i>
    <i>
      <x v="822"/>
    </i>
    <i>
      <x v="824"/>
    </i>
    <i>
      <x v="825"/>
    </i>
    <i>
      <x v="827"/>
    </i>
    <i>
      <x v="828"/>
    </i>
    <i>
      <x v="832"/>
    </i>
    <i>
      <x v="833"/>
    </i>
    <i>
      <x v="834"/>
    </i>
    <i>
      <x v="839"/>
    </i>
    <i>
      <x v="844"/>
    </i>
    <i>
      <x v="849"/>
    </i>
    <i>
      <x v="851"/>
    </i>
    <i>
      <x v="859"/>
    </i>
    <i>
      <x v="860"/>
    </i>
    <i>
      <x v="861"/>
    </i>
    <i>
      <x v="865"/>
    </i>
    <i>
      <x v="866"/>
    </i>
    <i>
      <x v="867"/>
    </i>
    <i>
      <x v="868"/>
    </i>
    <i>
      <x v="870"/>
    </i>
    <i>
      <x v="873"/>
    </i>
    <i>
      <x v="874"/>
    </i>
    <i>
      <x v="880"/>
    </i>
    <i>
      <x v="881"/>
    </i>
    <i>
      <x v="885"/>
    </i>
    <i>
      <x v="891"/>
    </i>
    <i>
      <x v="893"/>
    </i>
    <i>
      <x v="898"/>
    </i>
    <i>
      <x v="899"/>
    </i>
    <i>
      <x v="900"/>
    </i>
    <i>
      <x v="905"/>
    </i>
    <i>
      <x v="908"/>
    </i>
  </rowItems>
  <colItems count="1">
    <i/>
  </colItems>
  <dataFields count="1">
    <dataField name="Count of Customer ID" fld="2" subtotal="count" showDataAs="index"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C57C7E-79D4-4F0F-A104-083B7EEFFE57}" name="Top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h="1" x="1"/>
        <item h="1" x="3"/>
        <item h="1"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4">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7" count="1" selected="0">
            <x v="2"/>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7F9A26-C5BE-4495-9679-C2D0F8FECE48}" name="Top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h="1" x="1"/>
        <item h="1" x="3"/>
        <item h="1"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10"/>
    </i>
    <i>
      <x v="117"/>
    </i>
    <i>
      <x v="724"/>
    </i>
    <i>
      <x v="401"/>
    </i>
    <i>
      <x v="831"/>
    </i>
  </rowItems>
  <colItems count="1">
    <i/>
  </colItems>
  <dataFields count="1">
    <dataField name="Sum of Sales" fld="12" baseField="0" baseItem="0" numFmtId="169"/>
  </dataFields>
  <chartFormats count="4">
    <chartFormat chart="14" format="40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A5310F2-3587-412D-A146-52CA4287958F}" sourceName="Size">
  <pivotTables>
    <pivotTable tabId="18" name="TopSales"/>
    <pivotTable tabId="19" name="TopSales"/>
    <pivotTable tabId="20" name="TopSales"/>
    <pivotTable tabId="25" name="TopSales"/>
    <pivotTable tabId="23" name="TopSales"/>
    <pivotTable tabId="24" name="TopSales"/>
    <pivotTable tabId="22" name="TopSales"/>
  </pivotTables>
  <data>
    <tabular pivotCacheId="54150651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E0A6CB6-C8DB-4C70-BF4E-302A30679F67}" sourceName="Roast Type Name">
  <pivotTables>
    <pivotTable tabId="18" name="TopSales"/>
    <pivotTable tabId="19" name="TopSales"/>
    <pivotTable tabId="20" name="TopSales"/>
    <pivotTable tabId="25" name="TopSales"/>
    <pivotTable tabId="23" name="TopSales"/>
    <pivotTable tabId="24" name="TopSales"/>
    <pivotTable tabId="22" name="TopSales"/>
  </pivotTables>
  <data>
    <tabular pivotCacheId="5415065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BBDFF2C-0A3C-497B-8BDD-1E115C545227}" sourceName="Loyalty Card">
  <pivotTables>
    <pivotTable tabId="18" name="TopSales"/>
    <pivotTable tabId="19" name="TopSales"/>
    <pivotTable tabId="20" name="TopSales"/>
    <pivotTable tabId="25" name="TopSales"/>
    <pivotTable tabId="23" name="TopSales"/>
    <pivotTable tabId="24" name="TopSales"/>
    <pivotTable tabId="22" name="TopSales"/>
  </pivotTables>
  <data>
    <tabular pivotCacheId="54150651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9463A265-D5A9-4564-9FCE-807A1F5A3BB7}" sourceName="Coffee Type Name">
  <pivotTables>
    <pivotTable tabId="18" name="TopSales"/>
    <pivotTable tabId="19" name="TopSales"/>
    <pivotTable tabId="20" name="TopSales"/>
    <pivotTable tabId="25" name="TopSales"/>
    <pivotTable tabId="23" name="TopSales"/>
    <pivotTable tabId="24" name="TopSales"/>
    <pivotTable tabId="22" name="TopSales"/>
  </pivotTables>
  <data>
    <tabular pivotCacheId="541506514">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B19E5B8-2175-463C-8F5B-19A5E478E437}" cache="Slicer_Size" caption="Size" columnCount="2" style="Light Orange Style  Slicer" rowHeight="234950"/>
  <slicer name="Roast Type Name" xr10:uid="{C162D938-1B11-4B7B-A716-BB8980C2CBFE}" cache="Slicer_Roast_Type_Name" caption="Roast Type Name" columnCount="3" style="Light Orange Style  Slicer" rowHeight="234950"/>
  <slicer name="Loyalty Card" xr10:uid="{86486DF7-D84A-4DC6-B41F-1BF51046E93B}" cache="Slicer_Loyalty_Card" caption="Loyalty Card" style="Light Orange Style  Slicer" rowHeight="234950"/>
  <slicer name="Coffee Type Name" xr10:uid="{FFF16234-9090-40C2-AC7C-2258350907A4}" cache="Slicer_Coffee_Type_Name" caption="Coffee Type Name" columnCount="2" style="Light Orange Styl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791B7BE9-F4E4-49E1-8A18-0A10B1F03320}" cache="Slicer_Size" caption="Size" columnCount="2" style="Light Orange Style  Slicer" rowHeight="234950"/>
  <slicer name="Roast Type Name 1" xr10:uid="{1D110BE4-77C3-4E85-B69E-58ECD84F79A2}" cache="Slicer_Roast_Type_Name" caption="Roast Type Name" columnCount="3" style="Light Orange Style  Slicer" rowHeight="234950"/>
  <slicer name="Loyalty Card 1" xr10:uid="{7286523C-4579-425E-9AC3-08FBED4B25B6}" cache="Slicer_Loyalty_Card" caption="Loyalty Card" style="Light Orange Style  Slicer" rowHeight="234950"/>
  <slicer name="Coffee Type Name 1" xr10:uid="{2379EEE3-8CDC-4130-9663-0AF85952BBCE}" cache="Slicer_Coffee_Type_Name" caption="Coffee Type Name" columnCount="4" style="Light Orange Sty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BD7D0-C095-4512-AABA-2A3C3225A641}" name="Orders_Table" displayName="Orders_Table" ref="A1:P1001" totalsRowShown="0" headerRowDxfId="11">
  <autoFilter ref="A1:P1001" xr:uid="{992BD7D0-C095-4512-AABA-2A3C3225A641}"/>
  <tableColumns count="16">
    <tableColumn id="1" xr3:uid="{61004963-6CE7-4713-B651-15E7C821EC8A}" name="Order ID" dataDxfId="10"/>
    <tableColumn id="2" xr3:uid="{A86298C0-FD04-45E8-8B61-E55DF7E28332}" name="Order Date" dataDxfId="9"/>
    <tableColumn id="3" xr3:uid="{BDB8A5D4-4A36-45AF-868E-EB8ABD0D2D0C}" name="Customer ID" dataDxfId="8"/>
    <tableColumn id="4" xr3:uid="{DB5C5E25-076D-4F47-B418-9344B21FCA3C}" name="Product ID"/>
    <tableColumn id="5" xr3:uid="{EB9290D6-BBCB-4D15-826A-E4B44DCAD250}" name="Quantity" dataDxfId="7"/>
    <tableColumn id="6" xr3:uid="{5A5156A0-38F1-4389-BA83-3DEB8676E8F4}" name="Customer Name" dataDxfId="6">
      <calculatedColumnFormula>_xlfn.XLOOKUP(C2,customers!$A$1:$A$1001,customers!$B$1:$B$1001,,0)</calculatedColumnFormula>
    </tableColumn>
    <tableColumn id="7" xr3:uid="{680703CD-E02D-4438-A524-A9219F006008}" name="Email" dataDxfId="5">
      <calculatedColumnFormula>IF(_xlfn.XLOOKUP(C2,customers!$A$1:$A$1001,customers!$C$1:$C$1001,,0)=0,"",_xlfn.XLOOKUP(C2,customers!$A$1:$A$1001,customers!$C$1:$C$1001,,0))</calculatedColumnFormula>
    </tableColumn>
    <tableColumn id="8" xr3:uid="{7B6E2A9E-58BE-45A5-9EA7-CFAA6A770DD1}" name="Country" dataDxfId="4">
      <calculatedColumnFormula>_xlfn.XLOOKUP(C2,customers!$A$1:$A$1001,customers!$G$1:$G$1001,,0)</calculatedColumnFormula>
    </tableColumn>
    <tableColumn id="9" xr3:uid="{B7668F10-62BC-40DA-B2A5-8E7AAAEE481F}" name="Coffee Type">
      <calculatedColumnFormula>INDEX(products!$A$1:$G$49,MATCH(orders!$D2,products!$A$1:$A$49,0),MATCH(orders!I$1,products!$A$1:$G$1,0))</calculatedColumnFormula>
    </tableColumn>
    <tableColumn id="10" xr3:uid="{3A3AE637-B2F8-4D76-B659-2D0B838AEB59}" name="Roast Type">
      <calculatedColumnFormula>INDEX(products!$A$1:$G$49,MATCH(orders!$D2,products!$A$1:$A$49,0),MATCH(orders!J$1,products!$A$1:$G$1,0))</calculatedColumnFormula>
    </tableColumn>
    <tableColumn id="11" xr3:uid="{150F37E8-08F2-46B6-B85A-C03DB98058E4}" name="Size" dataDxfId="3">
      <calculatedColumnFormula>INDEX(products!$A$1:$G$49,MATCH(orders!$D2,products!$A$1:$A$49,0),MATCH(orders!K$1,products!$A$1:$G$1,0))</calculatedColumnFormula>
    </tableColumn>
    <tableColumn id="12" xr3:uid="{24CED3B4-456D-444D-B29B-FF0CEB4F6346}" name="Unit Price" dataDxfId="2">
      <calculatedColumnFormula>INDEX(products!$A$1:$G$49,MATCH(orders!$D2,products!$A$1:$A$49,0),MATCH(orders!L$1,products!$A$1:$G$1,0))</calculatedColumnFormula>
    </tableColumn>
    <tableColumn id="13" xr3:uid="{1FDB91C7-3D2D-4CED-8619-BB3C37E572FF}" name="Sales" dataDxfId="1">
      <calculatedColumnFormula>L2*E2</calculatedColumnFormula>
    </tableColumn>
    <tableColumn id="14" xr3:uid="{ED8FB408-1404-4F40-8544-008DE7EAB92E}" name="Coffee Type Name">
      <calculatedColumnFormula>IF(I2="Rob","Robusta",IF(I2="Exc", "Excelsa",IF(I2="Ara","Arabica",IF(I2="Lib","Liberica",""))))</calculatedColumnFormula>
    </tableColumn>
    <tableColumn id="15" xr3:uid="{9CF4F5F4-DE63-44BF-B928-1B5E061C6C48}" name="Roast Type Name">
      <calculatedColumnFormula>IF(J2="M","Medium",IF(J2="L","Light",IF(J2="D","Dark","")))</calculatedColumnFormula>
    </tableColumn>
    <tableColumn id="16" xr3:uid="{3605C399-6510-4706-B9C9-74655DE37497}" name="Loyalty Card" dataDxfId="0">
      <calculatedColumnFormula>_xlfn.XLOOKUP(Orders_Table[[#This Row],[Customer ID]],customers!$A$2:$A$1001,customers!$I$2:$I$1001,"",0)</calculatedColumnFormula>
    </tableColumn>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0A4CC90-4908-4CEA-9CAF-8ED6ED017D0A}" sourceName="Order Date">
  <pivotTables>
    <pivotTable tabId="18" name="TopSales"/>
    <pivotTable tabId="19" name="TopSales"/>
    <pivotTable tabId="20" name="TopSales"/>
    <pivotTable tabId="25" name="TopSales"/>
    <pivotTable tabId="23" name="TopSales"/>
    <pivotTable tabId="22" name="TopSales"/>
    <pivotTable tabId="24" name="TopSales"/>
  </pivotTables>
  <state minimalRefreshVersion="6" lastRefreshVersion="6" pivotCacheId="5415065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625894-019D-42BD-AA41-F16C8E179885}" cache="NativeTimeline_Order_Date" caption="Order Date" level="2" selectionLevel="2" scrollPosition="2020-01-05T00:00:00" style="Light Orange Style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4F1EA4D-F348-4316-90BC-42DD8314C08C}" cache="NativeTimeline_Order_Date" caption="Order Date" level="2" selectionLevel="2" scrollPosition="2019-01-01T00:00:00" style="Light Orange Style "/>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80F9-C9A7-4344-BEAD-3A8D572ABF2C}">
  <dimension ref="A3:C48"/>
  <sheetViews>
    <sheetView zoomScale="68" workbookViewId="0">
      <selection activeCell="W49" sqref="W49"/>
    </sheetView>
  </sheetViews>
  <sheetFormatPr defaultRowHeight="14.4" x14ac:dyDescent="0.3"/>
  <cols>
    <col min="1" max="1" width="12.5546875" bestFit="1" customWidth="1"/>
    <col min="2" max="2" width="23.44140625" bestFit="1" customWidth="1"/>
    <col min="3" max="3" width="21" bestFit="1" customWidth="1"/>
    <col min="4" max="4" width="7.33203125" bestFit="1" customWidth="1"/>
    <col min="5" max="5" width="8" bestFit="1" customWidth="1"/>
    <col min="6" max="6" width="8.33203125" bestFit="1" customWidth="1"/>
  </cols>
  <sheetData>
    <row r="3" spans="1:3" x14ac:dyDescent="0.3">
      <c r="A3" s="6" t="s">
        <v>6216</v>
      </c>
      <c r="C3" s="6" t="s">
        <v>6196</v>
      </c>
    </row>
    <row r="4" spans="1:3" x14ac:dyDescent="0.3">
      <c r="A4" s="6" t="s">
        <v>6214</v>
      </c>
      <c r="B4" s="6" t="s">
        <v>6215</v>
      </c>
      <c r="C4" t="s">
        <v>6219</v>
      </c>
    </row>
    <row r="5" spans="1:3" x14ac:dyDescent="0.3">
      <c r="A5" t="s">
        <v>6198</v>
      </c>
      <c r="B5" t="s">
        <v>6202</v>
      </c>
      <c r="C5" s="7">
        <v>186.85499999999999</v>
      </c>
    </row>
    <row r="6" spans="1:3" x14ac:dyDescent="0.3">
      <c r="B6" t="s">
        <v>6203</v>
      </c>
      <c r="C6" s="7">
        <v>251.965</v>
      </c>
    </row>
    <row r="7" spans="1:3" x14ac:dyDescent="0.3">
      <c r="B7" t="s">
        <v>6204</v>
      </c>
      <c r="C7" s="7">
        <v>224.94499999999999</v>
      </c>
    </row>
    <row r="8" spans="1:3" x14ac:dyDescent="0.3">
      <c r="B8" t="s">
        <v>6205</v>
      </c>
      <c r="C8" s="7">
        <v>307.12</v>
      </c>
    </row>
    <row r="9" spans="1:3" x14ac:dyDescent="0.3">
      <c r="B9" t="s">
        <v>6206</v>
      </c>
      <c r="C9" s="7">
        <v>53.664999999999992</v>
      </c>
    </row>
    <row r="10" spans="1:3" x14ac:dyDescent="0.3">
      <c r="B10" t="s">
        <v>6207</v>
      </c>
      <c r="C10" s="7">
        <v>163.01999999999998</v>
      </c>
    </row>
    <row r="11" spans="1:3" x14ac:dyDescent="0.3">
      <c r="B11" t="s">
        <v>6208</v>
      </c>
      <c r="C11" s="7">
        <v>345.02</v>
      </c>
    </row>
    <row r="12" spans="1:3" x14ac:dyDescent="0.3">
      <c r="B12" t="s">
        <v>6209</v>
      </c>
      <c r="C12" s="7">
        <v>334.89000000000004</v>
      </c>
    </row>
    <row r="13" spans="1:3" x14ac:dyDescent="0.3">
      <c r="B13" t="s">
        <v>6210</v>
      </c>
      <c r="C13" s="7">
        <v>178.70999999999998</v>
      </c>
    </row>
    <row r="14" spans="1:3" x14ac:dyDescent="0.3">
      <c r="B14" t="s">
        <v>6211</v>
      </c>
      <c r="C14" s="7">
        <v>301.98499999999996</v>
      </c>
    </row>
    <row r="15" spans="1:3" x14ac:dyDescent="0.3">
      <c r="B15" t="s">
        <v>6212</v>
      </c>
      <c r="C15" s="7">
        <v>312.83499999999998</v>
      </c>
    </row>
    <row r="16" spans="1:3" x14ac:dyDescent="0.3">
      <c r="B16" t="s">
        <v>6213</v>
      </c>
      <c r="C16" s="7">
        <v>265.62</v>
      </c>
    </row>
    <row r="17" spans="1:3" x14ac:dyDescent="0.3">
      <c r="A17" t="s">
        <v>6199</v>
      </c>
      <c r="B17" t="s">
        <v>6202</v>
      </c>
      <c r="C17" s="7">
        <v>47.25</v>
      </c>
    </row>
    <row r="18" spans="1:3" x14ac:dyDescent="0.3">
      <c r="B18" t="s">
        <v>6203</v>
      </c>
      <c r="C18" s="7">
        <v>745.45</v>
      </c>
    </row>
    <row r="19" spans="1:3" x14ac:dyDescent="0.3">
      <c r="B19" t="s">
        <v>6204</v>
      </c>
      <c r="C19" s="7">
        <v>130.47</v>
      </c>
    </row>
    <row r="20" spans="1:3" x14ac:dyDescent="0.3">
      <c r="B20" t="s">
        <v>6205</v>
      </c>
      <c r="C20" s="7">
        <v>27</v>
      </c>
    </row>
    <row r="21" spans="1:3" x14ac:dyDescent="0.3">
      <c r="B21" t="s">
        <v>6206</v>
      </c>
      <c r="C21" s="7">
        <v>255.11499999999995</v>
      </c>
    </row>
    <row r="22" spans="1:3" x14ac:dyDescent="0.3">
      <c r="B22" t="s">
        <v>6207</v>
      </c>
      <c r="C22" s="7">
        <v>584.79</v>
      </c>
    </row>
    <row r="23" spans="1:3" x14ac:dyDescent="0.3">
      <c r="B23" t="s">
        <v>6208</v>
      </c>
      <c r="C23" s="7">
        <v>430.61999999999995</v>
      </c>
    </row>
    <row r="24" spans="1:3" x14ac:dyDescent="0.3">
      <c r="B24" t="s">
        <v>6209</v>
      </c>
      <c r="C24" s="7">
        <v>22.5</v>
      </c>
    </row>
    <row r="25" spans="1:3" x14ac:dyDescent="0.3">
      <c r="B25" t="s">
        <v>6210</v>
      </c>
      <c r="C25" s="7">
        <v>126.14999999999999</v>
      </c>
    </row>
    <row r="26" spans="1:3" x14ac:dyDescent="0.3">
      <c r="B26" t="s">
        <v>6211</v>
      </c>
      <c r="C26" s="7">
        <v>376.03</v>
      </c>
    </row>
    <row r="27" spans="1:3" x14ac:dyDescent="0.3">
      <c r="B27" t="s">
        <v>6212</v>
      </c>
      <c r="C27" s="7">
        <v>515.17999999999995</v>
      </c>
    </row>
    <row r="28" spans="1:3" x14ac:dyDescent="0.3">
      <c r="B28" t="s">
        <v>6213</v>
      </c>
      <c r="C28" s="7">
        <v>95.86</v>
      </c>
    </row>
    <row r="29" spans="1:3" x14ac:dyDescent="0.3">
      <c r="A29" t="s">
        <v>6200</v>
      </c>
      <c r="B29" t="s">
        <v>6202</v>
      </c>
      <c r="C29" s="7">
        <v>258.34499999999997</v>
      </c>
    </row>
    <row r="30" spans="1:3" x14ac:dyDescent="0.3">
      <c r="B30" t="s">
        <v>6203</v>
      </c>
      <c r="C30" s="7">
        <v>342.19999999999993</v>
      </c>
    </row>
    <row r="31" spans="1:3" x14ac:dyDescent="0.3">
      <c r="B31" t="s">
        <v>6204</v>
      </c>
      <c r="C31" s="7">
        <v>418.30499999999995</v>
      </c>
    </row>
    <row r="32" spans="1:3" x14ac:dyDescent="0.3">
      <c r="B32" t="s">
        <v>6205</v>
      </c>
      <c r="C32" s="7">
        <v>102.32999999999998</v>
      </c>
    </row>
    <row r="33" spans="1:3" x14ac:dyDescent="0.3">
      <c r="B33" t="s">
        <v>6206</v>
      </c>
      <c r="C33" s="7">
        <v>234.72</v>
      </c>
    </row>
    <row r="34" spans="1:3" x14ac:dyDescent="0.3">
      <c r="B34" t="s">
        <v>6207</v>
      </c>
      <c r="C34" s="7">
        <v>430.39</v>
      </c>
    </row>
    <row r="35" spans="1:3" x14ac:dyDescent="0.3">
      <c r="B35" t="s">
        <v>6208</v>
      </c>
      <c r="C35" s="7">
        <v>109.005</v>
      </c>
    </row>
    <row r="36" spans="1:3" x14ac:dyDescent="0.3">
      <c r="B36" t="s">
        <v>6209</v>
      </c>
      <c r="C36" s="7">
        <v>287.52499999999998</v>
      </c>
    </row>
    <row r="37" spans="1:3" x14ac:dyDescent="0.3">
      <c r="B37" t="s">
        <v>6210</v>
      </c>
      <c r="C37" s="7">
        <v>840.93</v>
      </c>
    </row>
    <row r="38" spans="1:3" x14ac:dyDescent="0.3">
      <c r="B38" t="s">
        <v>6211</v>
      </c>
      <c r="C38" s="7">
        <v>299.07</v>
      </c>
    </row>
    <row r="39" spans="1:3" x14ac:dyDescent="0.3">
      <c r="B39" t="s">
        <v>6212</v>
      </c>
      <c r="C39" s="7">
        <v>323.32499999999999</v>
      </c>
    </row>
    <row r="40" spans="1:3" x14ac:dyDescent="0.3">
      <c r="B40" t="s">
        <v>6213</v>
      </c>
      <c r="C40" s="7">
        <v>399.48499999999996</v>
      </c>
    </row>
    <row r="41" spans="1:3" x14ac:dyDescent="0.3">
      <c r="A41" t="s">
        <v>6201</v>
      </c>
      <c r="B41" t="s">
        <v>6202</v>
      </c>
      <c r="C41" s="7">
        <v>112.69499999999999</v>
      </c>
    </row>
    <row r="42" spans="1:3" x14ac:dyDescent="0.3">
      <c r="B42" t="s">
        <v>6203</v>
      </c>
      <c r="C42" s="7">
        <v>114.88</v>
      </c>
    </row>
    <row r="43" spans="1:3" x14ac:dyDescent="0.3">
      <c r="B43" t="s">
        <v>6204</v>
      </c>
      <c r="C43" s="7">
        <v>277.76</v>
      </c>
    </row>
    <row r="44" spans="1:3" x14ac:dyDescent="0.3">
      <c r="B44" t="s">
        <v>6205</v>
      </c>
      <c r="C44" s="7">
        <v>197.89500000000001</v>
      </c>
    </row>
    <row r="45" spans="1:3" x14ac:dyDescent="0.3">
      <c r="B45" t="s">
        <v>6206</v>
      </c>
      <c r="C45" s="7">
        <v>193.11500000000001</v>
      </c>
    </row>
    <row r="46" spans="1:3" x14ac:dyDescent="0.3">
      <c r="B46" t="s">
        <v>6207</v>
      </c>
      <c r="C46" s="7">
        <v>179.79</v>
      </c>
    </row>
    <row r="47" spans="1:3" x14ac:dyDescent="0.3">
      <c r="B47" t="s">
        <v>6208</v>
      </c>
      <c r="C47" s="7">
        <v>247.29</v>
      </c>
    </row>
    <row r="48" spans="1:3" x14ac:dyDescent="0.3">
      <c r="B48" t="s">
        <v>6209</v>
      </c>
      <c r="C48" s="7">
        <v>116.39499999999998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71AFA-1E3A-4BD4-BACB-7B1019AC70E2}">
  <dimension ref="A3:A4"/>
  <sheetViews>
    <sheetView topLeftCell="A3" zoomScale="96" workbookViewId="0">
      <selection activeCell="M35" sqref="M35"/>
    </sheetView>
  </sheetViews>
  <sheetFormatPr defaultRowHeight="14.4" x14ac:dyDescent="0.3"/>
  <cols>
    <col min="1" max="1" width="12.109375" bestFit="1" customWidth="1"/>
    <col min="2" max="2" width="19.6640625" bestFit="1" customWidth="1"/>
    <col min="3" max="3" width="7.33203125" bestFit="1" customWidth="1"/>
    <col min="4" max="4" width="7.77734375" bestFit="1" customWidth="1"/>
    <col min="5" max="5" width="8.21875" bestFit="1" customWidth="1"/>
    <col min="6" max="6" width="8.33203125" bestFit="1" customWidth="1"/>
  </cols>
  <sheetData>
    <row r="3" spans="1:1" x14ac:dyDescent="0.3">
      <c r="A3" t="s">
        <v>6216</v>
      </c>
    </row>
    <row r="4" spans="1:1" x14ac:dyDescent="0.3">
      <c r="A4" s="9">
        <v>11768.494999999999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54EF-9A0E-4457-B6FC-1F4B01B0CA38}">
  <dimension ref="A3:B4"/>
  <sheetViews>
    <sheetView zoomScale="113" zoomScaleNormal="113" workbookViewId="0">
      <selection activeCell="G28" sqref="G28"/>
    </sheetView>
  </sheetViews>
  <sheetFormatPr defaultRowHeight="14.4" x14ac:dyDescent="0.3"/>
  <cols>
    <col min="1" max="1" width="18.88671875" bestFit="1" customWidth="1"/>
    <col min="2" max="2" width="16" bestFit="1" customWidth="1"/>
    <col min="3" max="3" width="20.109375" bestFit="1" customWidth="1"/>
    <col min="4" max="5" width="12.109375" bestFit="1" customWidth="1"/>
    <col min="6" max="6" width="8.33203125" bestFit="1" customWidth="1"/>
  </cols>
  <sheetData>
    <row r="3" spans="1:2" x14ac:dyDescent="0.3">
      <c r="A3" s="6" t="s">
        <v>6196</v>
      </c>
      <c r="B3" t="s">
        <v>6218</v>
      </c>
    </row>
    <row r="4" spans="1:2" x14ac:dyDescent="0.3">
      <c r="A4" t="s">
        <v>6219</v>
      </c>
      <c r="B4" s="10">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9204-BFDD-4C6F-9D4F-F02DE0771CA9}">
  <dimension ref="A3:B15"/>
  <sheetViews>
    <sheetView topLeftCell="A3" zoomScale="96" workbookViewId="0">
      <selection activeCell="A4" sqref="A4"/>
    </sheetView>
  </sheetViews>
  <sheetFormatPr defaultRowHeight="14.4" x14ac:dyDescent="0.3"/>
  <cols>
    <col min="1" max="1" width="21.77734375" bestFit="1" customWidth="1"/>
    <col min="2" max="5" width="12.109375" bestFit="1" customWidth="1"/>
    <col min="6" max="6" width="8.33203125" bestFit="1" customWidth="1"/>
  </cols>
  <sheetData>
    <row r="3" spans="1:2" x14ac:dyDescent="0.3">
      <c r="A3" s="6" t="s">
        <v>6215</v>
      </c>
      <c r="B3" t="s">
        <v>6216</v>
      </c>
    </row>
    <row r="4" spans="1:2" x14ac:dyDescent="0.3">
      <c r="A4" t="s">
        <v>6203</v>
      </c>
      <c r="B4" s="7">
        <v>1454.4950000000001</v>
      </c>
    </row>
    <row r="5" spans="1:2" x14ac:dyDescent="0.3">
      <c r="A5" t="s">
        <v>6207</v>
      </c>
      <c r="B5" s="7">
        <v>1357.99</v>
      </c>
    </row>
    <row r="6" spans="1:2" x14ac:dyDescent="0.3">
      <c r="A6" t="s">
        <v>6212</v>
      </c>
      <c r="B6" s="7">
        <v>1151.3400000000001</v>
      </c>
    </row>
    <row r="7" spans="1:2" x14ac:dyDescent="0.3">
      <c r="A7" t="s">
        <v>6210</v>
      </c>
      <c r="B7" s="7">
        <v>1145.7899999999997</v>
      </c>
    </row>
    <row r="8" spans="1:2" x14ac:dyDescent="0.3">
      <c r="A8" t="s">
        <v>6208</v>
      </c>
      <c r="B8" s="7">
        <v>1131.9350000000002</v>
      </c>
    </row>
    <row r="9" spans="1:2" x14ac:dyDescent="0.3">
      <c r="A9" t="s">
        <v>6204</v>
      </c>
      <c r="B9" s="7">
        <v>1051.4799999999998</v>
      </c>
    </row>
    <row r="10" spans="1:2" x14ac:dyDescent="0.3">
      <c r="A10" t="s">
        <v>6211</v>
      </c>
      <c r="B10" s="7">
        <v>977.08499999999992</v>
      </c>
    </row>
    <row r="11" spans="1:2" x14ac:dyDescent="0.3">
      <c r="A11" t="s">
        <v>6209</v>
      </c>
      <c r="B11" s="7">
        <v>761.31</v>
      </c>
    </row>
    <row r="12" spans="1:2" x14ac:dyDescent="0.3">
      <c r="A12" t="s">
        <v>6213</v>
      </c>
      <c r="B12" s="7">
        <v>760.96500000000003</v>
      </c>
    </row>
    <row r="13" spans="1:2" x14ac:dyDescent="0.3">
      <c r="A13" t="s">
        <v>6206</v>
      </c>
      <c r="B13" s="7">
        <v>736.6149999999999</v>
      </c>
    </row>
    <row r="14" spans="1:2" x14ac:dyDescent="0.3">
      <c r="A14" t="s">
        <v>6205</v>
      </c>
      <c r="B14" s="7">
        <v>634.34499999999991</v>
      </c>
    </row>
    <row r="15" spans="1:2" x14ac:dyDescent="0.3">
      <c r="A15" t="s">
        <v>6202</v>
      </c>
      <c r="B15" s="7">
        <v>605.14499999999998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10CD-8CF7-41F3-B2DE-DDAC17A7E11F}">
  <dimension ref="A3:E909"/>
  <sheetViews>
    <sheetView topLeftCell="A892" zoomScale="96" workbookViewId="0">
      <selection activeCell="E909" sqref="E909"/>
    </sheetView>
  </sheetViews>
  <sheetFormatPr defaultRowHeight="14.4" x14ac:dyDescent="0.3"/>
  <cols>
    <col min="1" max="1" width="16.5546875" bestFit="1" customWidth="1"/>
    <col min="2" max="2" width="20.109375" bestFit="1" customWidth="1"/>
    <col min="3" max="4" width="15.21875" bestFit="1" customWidth="1"/>
    <col min="5" max="5" width="15.109375" bestFit="1" customWidth="1"/>
    <col min="6" max="6" width="16" bestFit="1" customWidth="1"/>
    <col min="7" max="7" width="15.109375" bestFit="1" customWidth="1"/>
    <col min="8" max="8" width="15.44140625" bestFit="1" customWidth="1"/>
    <col min="9" max="9" width="15.77734375" bestFit="1" customWidth="1"/>
    <col min="10" max="10" width="15.109375" bestFit="1" customWidth="1"/>
    <col min="11" max="11" width="15.44140625" bestFit="1" customWidth="1"/>
    <col min="12" max="13" width="15.5546875" bestFit="1" customWidth="1"/>
    <col min="14" max="14" width="15.44140625" bestFit="1" customWidth="1"/>
    <col min="15" max="15" width="15.109375" bestFit="1" customWidth="1"/>
    <col min="16" max="16" width="15.44140625" bestFit="1" customWidth="1"/>
    <col min="17" max="17" width="15.5546875" bestFit="1" customWidth="1"/>
    <col min="18" max="18" width="15.21875" bestFit="1" customWidth="1"/>
    <col min="19" max="19" width="15" bestFit="1" customWidth="1"/>
    <col min="20" max="20" width="15.5546875" bestFit="1" customWidth="1"/>
    <col min="21" max="21" width="15.44140625" bestFit="1" customWidth="1"/>
    <col min="22" max="22" width="15" bestFit="1" customWidth="1"/>
    <col min="23" max="24" width="15.6640625" bestFit="1" customWidth="1"/>
    <col min="25" max="26" width="15.5546875" bestFit="1" customWidth="1"/>
    <col min="27" max="27" width="14.5546875" bestFit="1" customWidth="1"/>
    <col min="28" max="28" width="15.109375" bestFit="1" customWidth="1"/>
    <col min="29" max="30" width="15.21875" bestFit="1" customWidth="1"/>
    <col min="31" max="31" width="16.21875" bestFit="1" customWidth="1"/>
    <col min="32" max="32" width="14.5546875" bestFit="1" customWidth="1"/>
    <col min="33" max="33" width="15.109375" bestFit="1" customWidth="1"/>
    <col min="34" max="34" width="15.77734375" bestFit="1" customWidth="1"/>
    <col min="35" max="35" width="15.5546875" bestFit="1" customWidth="1"/>
    <col min="36" max="36" width="15.44140625" bestFit="1" customWidth="1"/>
    <col min="37" max="37" width="14.6640625" bestFit="1" customWidth="1"/>
    <col min="38" max="38" width="15.109375" bestFit="1" customWidth="1"/>
    <col min="39" max="39" width="15.21875" bestFit="1" customWidth="1"/>
    <col min="40" max="40" width="15.44140625" bestFit="1" customWidth="1"/>
    <col min="41" max="41" width="14.88671875" bestFit="1" customWidth="1"/>
    <col min="42" max="42" width="16" bestFit="1" customWidth="1"/>
    <col min="43" max="43" width="15.5546875" bestFit="1" customWidth="1"/>
    <col min="44" max="44" width="15.109375" bestFit="1" customWidth="1"/>
    <col min="45" max="45" width="14.6640625" bestFit="1" customWidth="1"/>
    <col min="46" max="46" width="15.44140625" bestFit="1" customWidth="1"/>
    <col min="47" max="47" width="14.6640625" bestFit="1" customWidth="1"/>
    <col min="48" max="48" width="15.77734375" bestFit="1" customWidth="1"/>
    <col min="49" max="49" width="14.5546875" bestFit="1" customWidth="1"/>
    <col min="50" max="50" width="15.5546875" bestFit="1" customWidth="1"/>
    <col min="51" max="51" width="15.44140625" bestFit="1" customWidth="1"/>
    <col min="52" max="52" width="15.5546875" bestFit="1" customWidth="1"/>
    <col min="53" max="53" width="15.21875" bestFit="1" customWidth="1"/>
    <col min="54" max="54" width="15.6640625" bestFit="1" customWidth="1"/>
    <col min="55" max="55" width="14.6640625" bestFit="1" customWidth="1"/>
    <col min="56" max="56" width="15.21875" bestFit="1" customWidth="1"/>
    <col min="57" max="58" width="15" bestFit="1" customWidth="1"/>
    <col min="59" max="59" width="15.5546875" bestFit="1" customWidth="1"/>
    <col min="60" max="61" width="15" bestFit="1" customWidth="1"/>
    <col min="62" max="63" width="15.6640625" bestFit="1" customWidth="1"/>
    <col min="64" max="64" width="15.21875" bestFit="1" customWidth="1"/>
    <col min="65" max="65" width="16.21875" bestFit="1" customWidth="1"/>
    <col min="66" max="66" width="14.21875" bestFit="1" customWidth="1"/>
    <col min="67" max="67" width="15" bestFit="1" customWidth="1"/>
    <col min="68" max="68" width="15.6640625" bestFit="1" customWidth="1"/>
    <col min="69" max="69" width="16.109375" bestFit="1" customWidth="1"/>
    <col min="70" max="70" width="14.88671875" bestFit="1" customWidth="1"/>
    <col min="71" max="71" width="15.44140625" bestFit="1" customWidth="1"/>
    <col min="72" max="72" width="15.109375" bestFit="1" customWidth="1"/>
    <col min="73" max="73" width="14.77734375" bestFit="1" customWidth="1"/>
    <col min="74" max="74" width="15.6640625" bestFit="1" customWidth="1"/>
    <col min="75" max="75" width="14.5546875" bestFit="1" customWidth="1"/>
    <col min="76" max="76" width="15.109375" bestFit="1" customWidth="1"/>
    <col min="77" max="77" width="15.21875" bestFit="1" customWidth="1"/>
    <col min="78" max="78" width="15.77734375" bestFit="1" customWidth="1"/>
    <col min="79" max="79" width="15.6640625" bestFit="1" customWidth="1"/>
    <col min="80" max="80" width="15.44140625" bestFit="1" customWidth="1"/>
    <col min="81" max="81" width="14.5546875" bestFit="1" customWidth="1"/>
    <col min="82" max="82" width="14.77734375" bestFit="1" customWidth="1"/>
    <col min="83" max="83" width="15.6640625" bestFit="1" customWidth="1"/>
    <col min="84" max="84" width="15.109375" bestFit="1" customWidth="1"/>
    <col min="85" max="85" width="15.21875" bestFit="1" customWidth="1"/>
    <col min="86" max="86" width="15.6640625" bestFit="1" customWidth="1"/>
    <col min="87" max="87" width="15.88671875" bestFit="1" customWidth="1"/>
    <col min="88" max="88" width="14.6640625" bestFit="1" customWidth="1"/>
    <col min="89" max="89" width="15.21875" bestFit="1" customWidth="1"/>
    <col min="90" max="90" width="14.88671875" bestFit="1" customWidth="1"/>
    <col min="91" max="91" width="15.77734375" bestFit="1" customWidth="1"/>
    <col min="92" max="92" width="15.21875" bestFit="1" customWidth="1"/>
    <col min="93" max="93" width="15.44140625" bestFit="1" customWidth="1"/>
    <col min="94" max="94" width="15.21875" bestFit="1" customWidth="1"/>
    <col min="95" max="96" width="14.77734375" bestFit="1" customWidth="1"/>
    <col min="97" max="97" width="15.5546875" bestFit="1" customWidth="1"/>
    <col min="98" max="98" width="15" bestFit="1" customWidth="1"/>
    <col min="99" max="99" width="14.6640625" bestFit="1" customWidth="1"/>
    <col min="100" max="100" width="15.6640625" bestFit="1" customWidth="1"/>
    <col min="101" max="101" width="15.44140625" bestFit="1" customWidth="1"/>
    <col min="102" max="102" width="15.5546875" bestFit="1" customWidth="1"/>
    <col min="103" max="103" width="15.21875" bestFit="1" customWidth="1"/>
    <col min="104" max="104" width="14.77734375" bestFit="1" customWidth="1"/>
    <col min="105" max="105" width="15.21875" bestFit="1" customWidth="1"/>
    <col min="106" max="106" width="15.44140625" bestFit="1" customWidth="1"/>
    <col min="107" max="107" width="15.5546875" bestFit="1" customWidth="1"/>
    <col min="108" max="108" width="15.44140625" bestFit="1" customWidth="1"/>
    <col min="109" max="109" width="16.6640625" bestFit="1" customWidth="1"/>
    <col min="110" max="110" width="15.6640625" bestFit="1" customWidth="1"/>
    <col min="111" max="111" width="15.77734375" bestFit="1" customWidth="1"/>
    <col min="112" max="112" width="15.6640625" bestFit="1" customWidth="1"/>
    <col min="113" max="113" width="15.77734375" bestFit="1" customWidth="1"/>
    <col min="114" max="114" width="14.6640625" bestFit="1" customWidth="1"/>
    <col min="115" max="115" width="15.5546875" bestFit="1" customWidth="1"/>
    <col min="116" max="117" width="15.44140625" bestFit="1" customWidth="1"/>
    <col min="118" max="118" width="15.21875" bestFit="1" customWidth="1"/>
    <col min="119" max="119" width="15.44140625" bestFit="1" customWidth="1"/>
    <col min="120" max="120" width="14.44140625" bestFit="1" customWidth="1"/>
    <col min="121" max="122" width="15.44140625" bestFit="1" customWidth="1"/>
    <col min="123" max="123" width="15.21875" bestFit="1" customWidth="1"/>
    <col min="124" max="124" width="16.21875" bestFit="1" customWidth="1"/>
    <col min="125" max="125" width="15.88671875" bestFit="1" customWidth="1"/>
    <col min="126" max="126" width="15.21875" bestFit="1" customWidth="1"/>
    <col min="127" max="127" width="16" bestFit="1" customWidth="1"/>
    <col min="128" max="128" width="14.44140625" bestFit="1" customWidth="1"/>
    <col min="129" max="129" width="15" bestFit="1" customWidth="1"/>
    <col min="130" max="130" width="14.6640625" bestFit="1" customWidth="1"/>
    <col min="131" max="131" width="15.44140625" bestFit="1" customWidth="1"/>
    <col min="132" max="132" width="15" bestFit="1" customWidth="1"/>
    <col min="133" max="133" width="15.5546875" bestFit="1" customWidth="1"/>
    <col min="134" max="134" width="15.109375" bestFit="1" customWidth="1"/>
    <col min="135" max="135" width="14.88671875" bestFit="1" customWidth="1"/>
    <col min="136" max="136" width="15.44140625" bestFit="1" customWidth="1"/>
    <col min="137" max="137" width="15.21875" bestFit="1" customWidth="1"/>
    <col min="138" max="138" width="15.44140625" bestFit="1" customWidth="1"/>
    <col min="139" max="139" width="15.21875" bestFit="1" customWidth="1"/>
    <col min="140" max="140" width="15" bestFit="1" customWidth="1"/>
    <col min="141" max="141" width="15.88671875" bestFit="1" customWidth="1"/>
    <col min="142" max="142" width="15.44140625" bestFit="1" customWidth="1"/>
    <col min="143" max="143" width="15.109375" bestFit="1" customWidth="1"/>
    <col min="144" max="144" width="15.44140625" bestFit="1" customWidth="1"/>
    <col min="145" max="145" width="15.88671875" bestFit="1" customWidth="1"/>
    <col min="146" max="146" width="15.5546875" bestFit="1" customWidth="1"/>
    <col min="147" max="147" width="14.88671875" bestFit="1" customWidth="1"/>
    <col min="148" max="148" width="15" bestFit="1" customWidth="1"/>
    <col min="149" max="149" width="15.44140625" bestFit="1" customWidth="1"/>
    <col min="150" max="150" width="15.21875" bestFit="1" customWidth="1"/>
    <col min="151" max="151" width="15.44140625" bestFit="1" customWidth="1"/>
    <col min="152" max="152" width="14.88671875" bestFit="1" customWidth="1"/>
    <col min="153" max="153" width="15.44140625" bestFit="1" customWidth="1"/>
    <col min="154" max="154" width="15" bestFit="1" customWidth="1"/>
    <col min="155" max="155" width="15.109375" bestFit="1" customWidth="1"/>
    <col min="156" max="156" width="15.5546875" bestFit="1" customWidth="1"/>
    <col min="157" max="157" width="14.6640625" bestFit="1" customWidth="1"/>
    <col min="158" max="158" width="15.77734375" bestFit="1" customWidth="1"/>
    <col min="159" max="159" width="15" bestFit="1" customWidth="1"/>
    <col min="160" max="160" width="15.109375" bestFit="1" customWidth="1"/>
    <col min="161" max="161" width="15.21875" bestFit="1" customWidth="1"/>
    <col min="162" max="163" width="15" bestFit="1" customWidth="1"/>
    <col min="164" max="164" width="15.21875" bestFit="1" customWidth="1"/>
    <col min="165" max="165" width="14.77734375" bestFit="1" customWidth="1"/>
    <col min="166" max="166" width="15.5546875" bestFit="1" customWidth="1"/>
    <col min="167" max="167" width="15.109375" bestFit="1" customWidth="1"/>
    <col min="168" max="168" width="16.109375" bestFit="1" customWidth="1"/>
    <col min="169" max="169" width="15.21875" bestFit="1" customWidth="1"/>
    <col min="170" max="170" width="15" bestFit="1" customWidth="1"/>
    <col min="171" max="171" width="15.6640625" bestFit="1" customWidth="1"/>
    <col min="172" max="172" width="15" bestFit="1" customWidth="1"/>
    <col min="173" max="173" width="16.21875" bestFit="1" customWidth="1"/>
    <col min="174" max="174" width="15.77734375" bestFit="1" customWidth="1"/>
    <col min="175" max="175" width="15.44140625" bestFit="1" customWidth="1"/>
    <col min="176" max="176" width="15" bestFit="1" customWidth="1"/>
    <col min="177" max="177" width="14.88671875" bestFit="1" customWidth="1"/>
    <col min="178" max="178" width="15.21875" bestFit="1" customWidth="1"/>
    <col min="179" max="179" width="15.109375" bestFit="1" customWidth="1"/>
    <col min="180" max="180" width="15.44140625" bestFit="1" customWidth="1"/>
    <col min="181" max="181" width="16" bestFit="1" customWidth="1"/>
    <col min="182" max="182" width="15.44140625" bestFit="1" customWidth="1"/>
    <col min="183" max="183" width="15.109375" bestFit="1" customWidth="1"/>
    <col min="184" max="184" width="15.21875" bestFit="1" customWidth="1"/>
    <col min="185" max="185" width="16" bestFit="1" customWidth="1"/>
    <col min="186" max="186" width="16.109375" bestFit="1" customWidth="1"/>
    <col min="187" max="187" width="15.109375" bestFit="1" customWidth="1"/>
    <col min="188" max="188" width="15.88671875" bestFit="1" customWidth="1"/>
    <col min="189" max="189" width="15.21875" bestFit="1" customWidth="1"/>
    <col min="190" max="190" width="15.6640625" bestFit="1" customWidth="1"/>
    <col min="191" max="191" width="14.88671875" bestFit="1" customWidth="1"/>
    <col min="192" max="192" width="16" bestFit="1" customWidth="1"/>
    <col min="193" max="194" width="15.21875" bestFit="1" customWidth="1"/>
    <col min="195" max="195" width="15.44140625" bestFit="1" customWidth="1"/>
    <col min="196" max="196" width="15.109375" bestFit="1" customWidth="1"/>
    <col min="197" max="197" width="15.21875" bestFit="1" customWidth="1"/>
    <col min="198" max="198" width="15" bestFit="1" customWidth="1"/>
    <col min="199" max="199" width="15.44140625" bestFit="1" customWidth="1"/>
    <col min="200" max="200" width="15" bestFit="1" customWidth="1"/>
    <col min="201" max="201" width="15.109375" bestFit="1" customWidth="1"/>
    <col min="202" max="202" width="15.44140625" bestFit="1" customWidth="1"/>
    <col min="203" max="203" width="15.5546875" bestFit="1" customWidth="1"/>
    <col min="204" max="204" width="15.21875" bestFit="1" customWidth="1"/>
    <col min="205" max="205" width="15.88671875" bestFit="1" customWidth="1"/>
    <col min="206" max="206" width="15.44140625" bestFit="1" customWidth="1"/>
    <col min="207" max="207" width="15.109375" bestFit="1" customWidth="1"/>
    <col min="208" max="208" width="14.88671875" bestFit="1" customWidth="1"/>
    <col min="209" max="209" width="15.109375" bestFit="1" customWidth="1"/>
    <col min="210" max="210" width="15.21875" bestFit="1" customWidth="1"/>
    <col min="211" max="211" width="15.44140625" bestFit="1" customWidth="1"/>
    <col min="212" max="212" width="15" bestFit="1" customWidth="1"/>
    <col min="213" max="213" width="15.44140625" bestFit="1" customWidth="1"/>
    <col min="214" max="216" width="15.21875" bestFit="1" customWidth="1"/>
    <col min="217" max="217" width="15.109375" bestFit="1" customWidth="1"/>
    <col min="218" max="218" width="14.77734375" bestFit="1" customWidth="1"/>
    <col min="219" max="219" width="15.44140625" bestFit="1" customWidth="1"/>
    <col min="220" max="220" width="15.88671875" bestFit="1" customWidth="1"/>
    <col min="221" max="221" width="15.5546875" bestFit="1" customWidth="1"/>
    <col min="222" max="222" width="15.77734375" bestFit="1" customWidth="1"/>
    <col min="223" max="223" width="16.21875" bestFit="1" customWidth="1"/>
    <col min="224" max="224" width="16.109375" bestFit="1" customWidth="1"/>
    <col min="225" max="225" width="15.5546875" bestFit="1" customWidth="1"/>
    <col min="226" max="226" width="15.44140625" bestFit="1" customWidth="1"/>
    <col min="227" max="227" width="15.21875" bestFit="1" customWidth="1"/>
    <col min="228" max="228" width="14.88671875" bestFit="1" customWidth="1"/>
    <col min="229" max="230" width="15.21875" bestFit="1" customWidth="1"/>
    <col min="231" max="231" width="15.5546875" bestFit="1" customWidth="1"/>
    <col min="232" max="232" width="14.5546875" bestFit="1" customWidth="1"/>
    <col min="233" max="234" width="15.21875" bestFit="1" customWidth="1"/>
    <col min="235" max="235" width="15.5546875" bestFit="1" customWidth="1"/>
    <col min="236" max="237" width="15.109375" bestFit="1" customWidth="1"/>
    <col min="238" max="238" width="16.109375" bestFit="1" customWidth="1"/>
    <col min="239" max="239" width="14.88671875" bestFit="1" customWidth="1"/>
    <col min="240" max="240" width="15.5546875" bestFit="1" customWidth="1"/>
    <col min="241" max="241" width="15.21875" bestFit="1" customWidth="1"/>
    <col min="242" max="242" width="15.6640625" bestFit="1" customWidth="1"/>
    <col min="243" max="243" width="14.5546875" bestFit="1" customWidth="1"/>
    <col min="244" max="244" width="14.6640625" bestFit="1" customWidth="1"/>
    <col min="245" max="245" width="14.44140625" bestFit="1" customWidth="1"/>
    <col min="246" max="247" width="15.44140625" bestFit="1" customWidth="1"/>
    <col min="248" max="250" width="15.21875" bestFit="1" customWidth="1"/>
    <col min="251" max="252" width="15" bestFit="1" customWidth="1"/>
    <col min="253" max="253" width="15.21875" bestFit="1" customWidth="1"/>
    <col min="254" max="254" width="15" bestFit="1" customWidth="1"/>
    <col min="255" max="255" width="15.21875" bestFit="1" customWidth="1"/>
    <col min="256" max="256" width="16.109375" bestFit="1" customWidth="1"/>
    <col min="257" max="257" width="15.21875" bestFit="1" customWidth="1"/>
    <col min="258" max="258" width="14.6640625" bestFit="1" customWidth="1"/>
    <col min="259" max="259" width="15.6640625" bestFit="1" customWidth="1"/>
    <col min="260" max="260" width="15.21875" bestFit="1" customWidth="1"/>
    <col min="261" max="261" width="15.88671875" bestFit="1" customWidth="1"/>
    <col min="262" max="262" width="15.109375" bestFit="1" customWidth="1"/>
    <col min="263" max="263" width="15.6640625" bestFit="1" customWidth="1"/>
    <col min="264" max="265" width="15.44140625" bestFit="1" customWidth="1"/>
    <col min="266" max="266" width="15" bestFit="1" customWidth="1"/>
    <col min="267" max="267" width="15.88671875" bestFit="1" customWidth="1"/>
    <col min="268" max="268" width="15" bestFit="1" customWidth="1"/>
    <col min="269" max="269" width="15.5546875" bestFit="1" customWidth="1"/>
    <col min="270" max="270" width="14.88671875" bestFit="1" customWidth="1"/>
    <col min="271" max="271" width="15" bestFit="1" customWidth="1"/>
    <col min="272" max="272" width="15.5546875" bestFit="1" customWidth="1"/>
    <col min="273" max="275" width="15.44140625" bestFit="1" customWidth="1"/>
    <col min="276" max="276" width="15.21875" bestFit="1" customWidth="1"/>
    <col min="277" max="277" width="15.5546875" bestFit="1" customWidth="1"/>
    <col min="278" max="278" width="15.21875" bestFit="1" customWidth="1"/>
    <col min="279" max="279" width="15.6640625" bestFit="1" customWidth="1"/>
    <col min="280" max="281" width="15.21875" bestFit="1" customWidth="1"/>
    <col min="282" max="282" width="14.77734375" bestFit="1" customWidth="1"/>
    <col min="283" max="283" width="15.77734375" bestFit="1" customWidth="1"/>
    <col min="284" max="284" width="15.109375" bestFit="1" customWidth="1"/>
    <col min="285" max="285" width="15.5546875" bestFit="1" customWidth="1"/>
    <col min="286" max="286" width="15.21875" bestFit="1" customWidth="1"/>
    <col min="287" max="287" width="15.77734375" bestFit="1" customWidth="1"/>
    <col min="288" max="288" width="15.5546875" bestFit="1" customWidth="1"/>
    <col min="289" max="289" width="15.109375" bestFit="1" customWidth="1"/>
    <col min="290" max="290" width="14.5546875" bestFit="1" customWidth="1"/>
    <col min="291" max="291" width="14.88671875" bestFit="1" customWidth="1"/>
    <col min="292" max="292" width="15.6640625" bestFit="1" customWidth="1"/>
    <col min="293" max="293" width="15" bestFit="1" customWidth="1"/>
    <col min="294" max="294" width="14.6640625" bestFit="1" customWidth="1"/>
    <col min="295" max="295" width="15.5546875" bestFit="1" customWidth="1"/>
    <col min="296" max="296" width="15.44140625" bestFit="1" customWidth="1"/>
    <col min="297" max="297" width="15.109375" bestFit="1" customWidth="1"/>
    <col min="298" max="298" width="15.5546875" bestFit="1" customWidth="1"/>
    <col min="299" max="299" width="16.21875" bestFit="1" customWidth="1"/>
    <col min="300" max="300" width="15.44140625" bestFit="1" customWidth="1"/>
    <col min="301" max="301" width="15.21875" bestFit="1" customWidth="1"/>
    <col min="302" max="302" width="15.44140625" bestFit="1" customWidth="1"/>
    <col min="303" max="303" width="15.5546875" bestFit="1" customWidth="1"/>
    <col min="304" max="304" width="15.21875" bestFit="1" customWidth="1"/>
    <col min="305" max="305" width="14.77734375" bestFit="1" customWidth="1"/>
    <col min="306" max="306" width="16.21875" bestFit="1" customWidth="1"/>
    <col min="307" max="307" width="15.6640625" bestFit="1" customWidth="1"/>
    <col min="308" max="308" width="15.5546875" bestFit="1" customWidth="1"/>
    <col min="309" max="309" width="15" bestFit="1" customWidth="1"/>
    <col min="310" max="310" width="15.109375" bestFit="1" customWidth="1"/>
    <col min="311" max="311" width="15.6640625" bestFit="1" customWidth="1"/>
    <col min="312" max="312" width="15.44140625" bestFit="1" customWidth="1"/>
    <col min="313" max="314" width="15.109375" bestFit="1" customWidth="1"/>
    <col min="315" max="315" width="15.21875" bestFit="1" customWidth="1"/>
    <col min="316" max="316" width="15.44140625" bestFit="1" customWidth="1"/>
    <col min="317" max="317" width="14.21875" bestFit="1" customWidth="1"/>
    <col min="318" max="318" width="14.88671875" bestFit="1" customWidth="1"/>
    <col min="319" max="319" width="15.44140625" bestFit="1" customWidth="1"/>
    <col min="320" max="320" width="15" bestFit="1" customWidth="1"/>
    <col min="321" max="321" width="15.109375" bestFit="1" customWidth="1"/>
    <col min="322" max="322" width="16.21875" bestFit="1" customWidth="1"/>
    <col min="323" max="324" width="15.21875" bestFit="1" customWidth="1"/>
    <col min="325" max="325" width="16" bestFit="1" customWidth="1"/>
    <col min="326" max="327" width="15.109375" bestFit="1" customWidth="1"/>
    <col min="328" max="328" width="15.77734375" bestFit="1" customWidth="1"/>
    <col min="329" max="329" width="15.21875" bestFit="1" customWidth="1"/>
    <col min="330" max="330" width="16" bestFit="1" customWidth="1"/>
    <col min="331" max="331" width="14.33203125" bestFit="1" customWidth="1"/>
    <col min="332" max="332" width="15.77734375" bestFit="1" customWidth="1"/>
    <col min="333" max="333" width="15.6640625" bestFit="1" customWidth="1"/>
    <col min="334" max="334" width="15.5546875" bestFit="1" customWidth="1"/>
    <col min="335" max="335" width="15.77734375" bestFit="1" customWidth="1"/>
    <col min="336" max="337" width="15.5546875" bestFit="1" customWidth="1"/>
    <col min="338" max="338" width="16" bestFit="1" customWidth="1"/>
    <col min="339" max="339" width="16.6640625" bestFit="1" customWidth="1"/>
    <col min="340" max="340" width="16.109375" bestFit="1" customWidth="1"/>
    <col min="341" max="341" width="14.6640625" bestFit="1" customWidth="1"/>
    <col min="342" max="342" width="14.88671875" bestFit="1" customWidth="1"/>
    <col min="343" max="343" width="15.88671875" bestFit="1" customWidth="1"/>
    <col min="344" max="344" width="14.77734375" bestFit="1" customWidth="1"/>
    <col min="345" max="345" width="15.44140625" bestFit="1" customWidth="1"/>
    <col min="346" max="346" width="15" bestFit="1" customWidth="1"/>
    <col min="347" max="347" width="14.6640625" bestFit="1" customWidth="1"/>
    <col min="348" max="348" width="16.109375" bestFit="1" customWidth="1"/>
    <col min="349" max="349" width="15.77734375" bestFit="1" customWidth="1"/>
    <col min="350" max="350" width="15.44140625" bestFit="1" customWidth="1"/>
    <col min="351" max="352" width="15.109375" bestFit="1" customWidth="1"/>
    <col min="353" max="353" width="15.5546875" bestFit="1" customWidth="1"/>
    <col min="354" max="354" width="14.6640625" bestFit="1" customWidth="1"/>
    <col min="355" max="355" width="14.77734375" bestFit="1" customWidth="1"/>
    <col min="356" max="356" width="14.5546875" bestFit="1" customWidth="1"/>
    <col min="357" max="357" width="15.6640625" bestFit="1" customWidth="1"/>
    <col min="358" max="358" width="15.5546875" bestFit="1" customWidth="1"/>
    <col min="359" max="359" width="15.6640625" bestFit="1" customWidth="1"/>
    <col min="360" max="360" width="14.88671875" bestFit="1" customWidth="1"/>
    <col min="361" max="361" width="15.21875" bestFit="1" customWidth="1"/>
    <col min="362" max="362" width="16.21875" bestFit="1" customWidth="1"/>
    <col min="363" max="363" width="15" bestFit="1" customWidth="1"/>
    <col min="364" max="364" width="15.88671875" bestFit="1" customWidth="1"/>
    <col min="365" max="366" width="15" bestFit="1" customWidth="1"/>
    <col min="367" max="367" width="15.6640625" bestFit="1" customWidth="1"/>
    <col min="368" max="368" width="15.109375" bestFit="1" customWidth="1"/>
    <col min="369" max="369" width="15.21875" bestFit="1" customWidth="1"/>
    <col min="370" max="370" width="15.77734375" bestFit="1" customWidth="1"/>
    <col min="371" max="371" width="14.88671875" bestFit="1" customWidth="1"/>
    <col min="372" max="372" width="15.88671875" bestFit="1" customWidth="1"/>
    <col min="373" max="373" width="15.44140625" bestFit="1" customWidth="1"/>
    <col min="374" max="374" width="15.6640625" bestFit="1" customWidth="1"/>
    <col min="375" max="375" width="15.21875" bestFit="1" customWidth="1"/>
    <col min="376" max="376" width="15.6640625" bestFit="1" customWidth="1"/>
    <col min="377" max="379" width="15.21875" bestFit="1" customWidth="1"/>
    <col min="380" max="380" width="16.109375" bestFit="1" customWidth="1"/>
    <col min="381" max="381" width="15.5546875" bestFit="1" customWidth="1"/>
    <col min="382" max="382" width="15.21875" bestFit="1" customWidth="1"/>
    <col min="383" max="383" width="15.6640625" bestFit="1" customWidth="1"/>
    <col min="384" max="384" width="14.88671875" bestFit="1" customWidth="1"/>
    <col min="385" max="385" width="16" bestFit="1" customWidth="1"/>
    <col min="386" max="386" width="16.21875" bestFit="1" customWidth="1"/>
    <col min="387" max="387" width="15.6640625" bestFit="1" customWidth="1"/>
    <col min="388" max="388" width="15.44140625" bestFit="1" customWidth="1"/>
    <col min="389" max="389" width="15.6640625" bestFit="1" customWidth="1"/>
    <col min="390" max="390" width="15.109375" bestFit="1" customWidth="1"/>
    <col min="391" max="391" width="16" bestFit="1" customWidth="1"/>
    <col min="392" max="392" width="15.109375" bestFit="1" customWidth="1"/>
    <col min="393" max="393" width="16" bestFit="1" customWidth="1"/>
    <col min="394" max="394" width="15.21875" bestFit="1" customWidth="1"/>
    <col min="395" max="395" width="16.21875" bestFit="1" customWidth="1"/>
    <col min="396" max="396" width="15.6640625" bestFit="1" customWidth="1"/>
    <col min="397" max="397" width="15.44140625" bestFit="1" customWidth="1"/>
    <col min="398" max="398" width="15.21875" bestFit="1" customWidth="1"/>
    <col min="399" max="399" width="14.5546875" bestFit="1" customWidth="1"/>
    <col min="400" max="400" width="15.88671875" bestFit="1" customWidth="1"/>
    <col min="401" max="402" width="15.77734375" bestFit="1" customWidth="1"/>
    <col min="403" max="403" width="15.88671875" bestFit="1" customWidth="1"/>
    <col min="404" max="404" width="14.77734375" bestFit="1" customWidth="1"/>
    <col min="405" max="405" width="15.88671875" bestFit="1" customWidth="1"/>
    <col min="406" max="406" width="15.44140625" bestFit="1" customWidth="1"/>
    <col min="407" max="407" width="14.44140625" bestFit="1" customWidth="1"/>
    <col min="408" max="409" width="14.88671875" bestFit="1" customWidth="1"/>
    <col min="410" max="410" width="15.21875" bestFit="1" customWidth="1"/>
    <col min="411" max="411" width="14.88671875" bestFit="1" customWidth="1"/>
    <col min="412" max="414" width="15.109375" bestFit="1" customWidth="1"/>
    <col min="415" max="415" width="15.88671875" bestFit="1" customWidth="1"/>
    <col min="416" max="416" width="14.5546875" bestFit="1" customWidth="1"/>
    <col min="417" max="417" width="14.88671875" bestFit="1" customWidth="1"/>
    <col min="418" max="418" width="14.77734375" bestFit="1" customWidth="1"/>
    <col min="419" max="419" width="15.5546875" bestFit="1" customWidth="1"/>
    <col min="420" max="420" width="14.77734375" bestFit="1" customWidth="1"/>
    <col min="421" max="422" width="15.21875" bestFit="1" customWidth="1"/>
    <col min="423" max="423" width="15.44140625" bestFit="1" customWidth="1"/>
    <col min="424" max="424" width="14.88671875" bestFit="1" customWidth="1"/>
    <col min="425" max="425" width="15.21875" bestFit="1" customWidth="1"/>
    <col min="426" max="426" width="15.44140625" bestFit="1" customWidth="1"/>
    <col min="427" max="427" width="15.109375" bestFit="1" customWidth="1"/>
    <col min="428" max="428" width="14.88671875" bestFit="1" customWidth="1"/>
    <col min="429" max="429" width="15.21875" bestFit="1" customWidth="1"/>
    <col min="430" max="430" width="15.5546875" bestFit="1" customWidth="1"/>
    <col min="431" max="431" width="15.44140625" bestFit="1" customWidth="1"/>
    <col min="432" max="432" width="15" bestFit="1" customWidth="1"/>
    <col min="433" max="433" width="14.6640625" bestFit="1" customWidth="1"/>
    <col min="434" max="434" width="15.21875" bestFit="1" customWidth="1"/>
    <col min="435" max="435" width="15.44140625" bestFit="1" customWidth="1"/>
    <col min="436" max="436" width="15.21875" bestFit="1" customWidth="1"/>
    <col min="437" max="437" width="15.5546875" bestFit="1" customWidth="1"/>
    <col min="438" max="438" width="16" bestFit="1" customWidth="1"/>
    <col min="439" max="439" width="15.5546875" bestFit="1" customWidth="1"/>
    <col min="440" max="440" width="14.5546875" bestFit="1" customWidth="1"/>
    <col min="441" max="441" width="16.109375" bestFit="1" customWidth="1"/>
    <col min="442" max="442" width="15.44140625" bestFit="1" customWidth="1"/>
    <col min="443" max="443" width="15" bestFit="1" customWidth="1"/>
    <col min="444" max="444" width="15.77734375" bestFit="1" customWidth="1"/>
    <col min="445" max="445" width="15.44140625" bestFit="1" customWidth="1"/>
    <col min="446" max="446" width="15" bestFit="1" customWidth="1"/>
    <col min="447" max="448" width="15.109375" bestFit="1" customWidth="1"/>
    <col min="449" max="449" width="15.5546875" bestFit="1" customWidth="1"/>
    <col min="450" max="450" width="15.44140625" bestFit="1" customWidth="1"/>
    <col min="451" max="451" width="15.88671875" bestFit="1" customWidth="1"/>
    <col min="452" max="452" width="15.21875" bestFit="1" customWidth="1"/>
    <col min="453" max="453" width="15" bestFit="1" customWidth="1"/>
    <col min="454" max="455" width="15.5546875" bestFit="1" customWidth="1"/>
    <col min="456" max="456" width="16.21875" bestFit="1" customWidth="1"/>
    <col min="457" max="457" width="15.109375" bestFit="1" customWidth="1"/>
    <col min="458" max="458" width="14.88671875" bestFit="1" customWidth="1"/>
    <col min="459" max="459" width="15.5546875" bestFit="1" customWidth="1"/>
    <col min="460" max="460" width="16.21875" bestFit="1" customWidth="1"/>
    <col min="461" max="461" width="15.109375" bestFit="1" customWidth="1"/>
    <col min="462" max="462" width="14.5546875" bestFit="1" customWidth="1"/>
    <col min="463" max="463" width="15" bestFit="1" customWidth="1"/>
    <col min="464" max="464" width="15.5546875" bestFit="1" customWidth="1"/>
    <col min="465" max="465" width="14.77734375" bestFit="1" customWidth="1"/>
    <col min="466" max="466" width="15.44140625" bestFit="1" customWidth="1"/>
    <col min="467" max="467" width="16.109375" bestFit="1" customWidth="1"/>
    <col min="468" max="468" width="15.109375" bestFit="1" customWidth="1"/>
    <col min="469" max="469" width="15" bestFit="1" customWidth="1"/>
    <col min="470" max="470" width="14.5546875" bestFit="1" customWidth="1"/>
    <col min="471" max="471" width="15.21875" bestFit="1" customWidth="1"/>
    <col min="472" max="472" width="15.5546875" bestFit="1" customWidth="1"/>
    <col min="473" max="473" width="15" bestFit="1" customWidth="1"/>
    <col min="474" max="474" width="14.88671875" bestFit="1" customWidth="1"/>
    <col min="475" max="475" width="14.6640625" bestFit="1" customWidth="1"/>
    <col min="476" max="476" width="15.109375" bestFit="1" customWidth="1"/>
    <col min="477" max="477" width="15.5546875" bestFit="1" customWidth="1"/>
    <col min="478" max="478" width="15.44140625" bestFit="1" customWidth="1"/>
    <col min="479" max="479" width="15.21875" bestFit="1" customWidth="1"/>
    <col min="480" max="480" width="15.109375" bestFit="1" customWidth="1"/>
    <col min="481" max="481" width="15" bestFit="1" customWidth="1"/>
    <col min="482" max="482" width="15.109375" bestFit="1" customWidth="1"/>
    <col min="483" max="483" width="15.5546875" bestFit="1" customWidth="1"/>
    <col min="484" max="484" width="15.21875" bestFit="1" customWidth="1"/>
    <col min="485" max="485" width="14.88671875" bestFit="1" customWidth="1"/>
    <col min="486" max="486" width="16.21875" bestFit="1" customWidth="1"/>
    <col min="487" max="487" width="15.44140625" bestFit="1" customWidth="1"/>
    <col min="488" max="488" width="15.109375" bestFit="1" customWidth="1"/>
    <col min="489" max="489" width="15.44140625" bestFit="1" customWidth="1"/>
    <col min="490" max="490" width="15.109375" bestFit="1" customWidth="1"/>
    <col min="491" max="491" width="15.6640625" bestFit="1" customWidth="1"/>
    <col min="492" max="492" width="15.21875" bestFit="1" customWidth="1"/>
    <col min="493" max="493" width="15.44140625" bestFit="1" customWidth="1"/>
    <col min="494" max="494" width="14.77734375" bestFit="1" customWidth="1"/>
    <col min="495" max="495" width="15.21875" bestFit="1" customWidth="1"/>
    <col min="496" max="497" width="15.109375" bestFit="1" customWidth="1"/>
    <col min="498" max="498" width="15.21875" bestFit="1" customWidth="1"/>
    <col min="499" max="499" width="15.6640625" bestFit="1" customWidth="1"/>
    <col min="500" max="500" width="15.77734375" bestFit="1" customWidth="1"/>
    <col min="501" max="501" width="16" bestFit="1" customWidth="1"/>
    <col min="502" max="502" width="16.21875" bestFit="1" customWidth="1"/>
    <col min="503" max="503" width="15.44140625" bestFit="1" customWidth="1"/>
    <col min="504" max="504" width="14.77734375" bestFit="1" customWidth="1"/>
    <col min="505" max="506" width="15.44140625" bestFit="1" customWidth="1"/>
    <col min="507" max="507" width="15.21875" bestFit="1" customWidth="1"/>
    <col min="508" max="508" width="14.88671875" bestFit="1" customWidth="1"/>
    <col min="509" max="510" width="15" bestFit="1" customWidth="1"/>
    <col min="511" max="512" width="15.44140625" bestFit="1" customWidth="1"/>
    <col min="513" max="513" width="15.77734375" bestFit="1" customWidth="1"/>
    <col min="514" max="514" width="15" bestFit="1" customWidth="1"/>
    <col min="515" max="515" width="15.44140625" bestFit="1" customWidth="1"/>
    <col min="516" max="516" width="15.109375" bestFit="1" customWidth="1"/>
    <col min="517" max="517" width="16" bestFit="1" customWidth="1"/>
    <col min="518" max="521" width="15.44140625" bestFit="1" customWidth="1"/>
    <col min="522" max="522" width="15.21875" bestFit="1" customWidth="1"/>
    <col min="523" max="523" width="15.44140625" bestFit="1" customWidth="1"/>
    <col min="524" max="524" width="15.21875" bestFit="1" customWidth="1"/>
    <col min="525" max="525" width="14.88671875" bestFit="1" customWidth="1"/>
    <col min="526" max="526" width="15.6640625" bestFit="1" customWidth="1"/>
    <col min="527" max="527" width="15.44140625" bestFit="1" customWidth="1"/>
    <col min="528" max="528" width="15.88671875" bestFit="1" customWidth="1"/>
    <col min="529" max="529" width="15.5546875" bestFit="1" customWidth="1"/>
    <col min="530" max="530" width="15.44140625" bestFit="1" customWidth="1"/>
    <col min="531" max="531" width="14.88671875" bestFit="1" customWidth="1"/>
    <col min="532" max="532" width="15.109375" bestFit="1" customWidth="1"/>
    <col min="533" max="533" width="16.21875" bestFit="1" customWidth="1"/>
    <col min="534" max="534" width="15.21875" bestFit="1" customWidth="1"/>
    <col min="535" max="535" width="14.6640625" bestFit="1" customWidth="1"/>
    <col min="536" max="536" width="14.88671875" bestFit="1" customWidth="1"/>
    <col min="537" max="537" width="15.6640625" bestFit="1" customWidth="1"/>
    <col min="538" max="538" width="15.21875" bestFit="1" customWidth="1"/>
    <col min="539" max="539" width="15.109375" bestFit="1" customWidth="1"/>
    <col min="540" max="540" width="15.21875" bestFit="1" customWidth="1"/>
    <col min="541" max="541" width="15.44140625" bestFit="1" customWidth="1"/>
    <col min="542" max="542" width="14.44140625" bestFit="1" customWidth="1"/>
    <col min="543" max="543" width="14.88671875" bestFit="1" customWidth="1"/>
    <col min="544" max="544" width="15.88671875" bestFit="1" customWidth="1"/>
    <col min="545" max="546" width="15.21875" bestFit="1" customWidth="1"/>
    <col min="547" max="547" width="15.6640625" bestFit="1" customWidth="1"/>
    <col min="548" max="548" width="15.44140625" bestFit="1" customWidth="1"/>
    <col min="549" max="549" width="15.5546875" bestFit="1" customWidth="1"/>
    <col min="550" max="550" width="15.21875" bestFit="1" customWidth="1"/>
    <col min="551" max="551" width="15.5546875" bestFit="1" customWidth="1"/>
    <col min="552" max="553" width="15.109375" bestFit="1" customWidth="1"/>
    <col min="554" max="554" width="16.21875" bestFit="1" customWidth="1"/>
    <col min="555" max="555" width="14.5546875" bestFit="1" customWidth="1"/>
    <col min="556" max="556" width="14.77734375" bestFit="1" customWidth="1"/>
    <col min="557" max="557" width="15.5546875" bestFit="1" customWidth="1"/>
    <col min="558" max="558" width="15.109375" bestFit="1" customWidth="1"/>
    <col min="559" max="559" width="16.21875" bestFit="1" customWidth="1"/>
    <col min="560" max="560" width="15.21875" bestFit="1" customWidth="1"/>
    <col min="561" max="561" width="14.109375" bestFit="1" customWidth="1"/>
    <col min="562" max="562" width="15.44140625" bestFit="1" customWidth="1"/>
    <col min="563" max="563" width="15.6640625" bestFit="1" customWidth="1"/>
    <col min="564" max="564" width="15.44140625" bestFit="1" customWidth="1"/>
    <col min="565" max="566" width="15.21875" bestFit="1" customWidth="1"/>
    <col min="567" max="567" width="15.77734375" bestFit="1" customWidth="1"/>
    <col min="568" max="568" width="15.6640625" bestFit="1" customWidth="1"/>
    <col min="569" max="569" width="15" bestFit="1" customWidth="1"/>
    <col min="570" max="570" width="15.5546875" bestFit="1" customWidth="1"/>
    <col min="571" max="571" width="15.21875" bestFit="1" customWidth="1"/>
    <col min="572" max="572" width="15.44140625" bestFit="1" customWidth="1"/>
    <col min="573" max="573" width="16.109375" bestFit="1" customWidth="1"/>
    <col min="574" max="574" width="15.77734375" bestFit="1" customWidth="1"/>
    <col min="575" max="575" width="16.109375" bestFit="1" customWidth="1"/>
    <col min="576" max="576" width="16.6640625" bestFit="1" customWidth="1"/>
    <col min="577" max="577" width="15.109375" bestFit="1" customWidth="1"/>
    <col min="578" max="578" width="14.109375" bestFit="1" customWidth="1"/>
    <col min="579" max="579" width="15.5546875" bestFit="1" customWidth="1"/>
    <col min="580" max="580" width="15.77734375" bestFit="1" customWidth="1"/>
    <col min="581" max="581" width="15.109375" bestFit="1" customWidth="1"/>
    <col min="582" max="582" width="14.88671875" bestFit="1" customWidth="1"/>
    <col min="583" max="583" width="15.109375" bestFit="1" customWidth="1"/>
    <col min="584" max="584" width="16.109375" bestFit="1" customWidth="1"/>
    <col min="585" max="585" width="16.21875" bestFit="1" customWidth="1"/>
    <col min="586" max="586" width="15.88671875" bestFit="1" customWidth="1"/>
    <col min="587" max="587" width="15.5546875" bestFit="1" customWidth="1"/>
    <col min="588" max="588" width="15.21875" bestFit="1" customWidth="1"/>
    <col min="589" max="589" width="15.109375" bestFit="1" customWidth="1"/>
    <col min="590" max="590" width="16.21875" bestFit="1" customWidth="1"/>
    <col min="591" max="591" width="15.5546875" bestFit="1" customWidth="1"/>
    <col min="592" max="592" width="15.21875" bestFit="1" customWidth="1"/>
    <col min="593" max="593" width="15.44140625" bestFit="1" customWidth="1"/>
    <col min="594" max="594" width="14.88671875" bestFit="1" customWidth="1"/>
    <col min="595" max="595" width="15.44140625" bestFit="1" customWidth="1"/>
    <col min="596" max="596" width="15.21875" bestFit="1" customWidth="1"/>
    <col min="597" max="597" width="15.109375" bestFit="1" customWidth="1"/>
    <col min="598" max="598" width="15.77734375" bestFit="1" customWidth="1"/>
    <col min="599" max="599" width="15.21875" bestFit="1" customWidth="1"/>
    <col min="600" max="600" width="15.77734375" bestFit="1" customWidth="1"/>
    <col min="601" max="601" width="15.5546875" bestFit="1" customWidth="1"/>
    <col min="602" max="602" width="15.44140625" bestFit="1" customWidth="1"/>
    <col min="603" max="603" width="16.109375" bestFit="1" customWidth="1"/>
    <col min="604" max="604" width="16" bestFit="1" customWidth="1"/>
    <col min="605" max="605" width="15.21875" bestFit="1" customWidth="1"/>
    <col min="606" max="606" width="15.109375" bestFit="1" customWidth="1"/>
    <col min="607" max="607" width="15.21875" bestFit="1" customWidth="1"/>
    <col min="608" max="608" width="15.109375" bestFit="1" customWidth="1"/>
    <col min="609" max="609" width="14.6640625" bestFit="1" customWidth="1"/>
    <col min="610" max="610" width="15.21875" bestFit="1" customWidth="1"/>
    <col min="611" max="611" width="15.77734375" bestFit="1" customWidth="1"/>
    <col min="612" max="612" width="15.44140625" bestFit="1" customWidth="1"/>
    <col min="613" max="613" width="15" bestFit="1" customWidth="1"/>
    <col min="614" max="614" width="15.44140625" bestFit="1" customWidth="1"/>
    <col min="615" max="615" width="15.77734375" bestFit="1" customWidth="1"/>
    <col min="616" max="616" width="14.88671875" bestFit="1" customWidth="1"/>
    <col min="617" max="617" width="15.6640625" bestFit="1" customWidth="1"/>
    <col min="618" max="618" width="14.6640625" bestFit="1" customWidth="1"/>
    <col min="619" max="620" width="15.21875" bestFit="1" customWidth="1"/>
    <col min="621" max="621" width="15.44140625" bestFit="1" customWidth="1"/>
    <col min="622" max="622" width="16" bestFit="1" customWidth="1"/>
    <col min="623" max="623" width="15" bestFit="1" customWidth="1"/>
    <col min="624" max="624" width="16.109375" bestFit="1" customWidth="1"/>
    <col min="625" max="626" width="15.5546875" bestFit="1" customWidth="1"/>
    <col min="627" max="627" width="15.109375" bestFit="1" customWidth="1"/>
    <col min="628" max="628" width="14.6640625" bestFit="1" customWidth="1"/>
    <col min="629" max="629" width="16.109375" bestFit="1" customWidth="1"/>
    <col min="630" max="630" width="14.77734375" bestFit="1" customWidth="1"/>
    <col min="631" max="631" width="16.21875" bestFit="1" customWidth="1"/>
    <col min="632" max="632" width="15.21875" bestFit="1" customWidth="1"/>
    <col min="633" max="633" width="15.44140625" bestFit="1" customWidth="1"/>
    <col min="634" max="634" width="15.109375" bestFit="1" customWidth="1"/>
    <col min="635" max="635" width="15.44140625" bestFit="1" customWidth="1"/>
    <col min="636" max="636" width="15.109375" bestFit="1" customWidth="1"/>
    <col min="637" max="637" width="15" bestFit="1" customWidth="1"/>
    <col min="638" max="638" width="15.88671875" bestFit="1" customWidth="1"/>
    <col min="639" max="639" width="15" bestFit="1" customWidth="1"/>
    <col min="640" max="641" width="15.44140625" bestFit="1" customWidth="1"/>
    <col min="642" max="643" width="15.5546875" bestFit="1" customWidth="1"/>
    <col min="644" max="644" width="15.6640625" bestFit="1" customWidth="1"/>
    <col min="645" max="645" width="15.88671875" bestFit="1" customWidth="1"/>
    <col min="646" max="646" width="14.5546875" bestFit="1" customWidth="1"/>
    <col min="647" max="647" width="15.44140625" bestFit="1" customWidth="1"/>
    <col min="648" max="648" width="15.109375" bestFit="1" customWidth="1"/>
    <col min="649" max="649" width="15.21875" bestFit="1" customWidth="1"/>
    <col min="650" max="650" width="15.5546875" bestFit="1" customWidth="1"/>
    <col min="651" max="651" width="15.44140625" bestFit="1" customWidth="1"/>
    <col min="652" max="652" width="15.6640625" bestFit="1" customWidth="1"/>
    <col min="653" max="653" width="15.44140625" bestFit="1" customWidth="1"/>
    <col min="654" max="654" width="15.21875" bestFit="1" customWidth="1"/>
    <col min="655" max="656" width="14.6640625" bestFit="1" customWidth="1"/>
    <col min="657" max="657" width="15.21875" bestFit="1" customWidth="1"/>
    <col min="658" max="658" width="15.109375" bestFit="1" customWidth="1"/>
    <col min="659" max="659" width="16.109375" bestFit="1" customWidth="1"/>
    <col min="660" max="660" width="15.44140625" bestFit="1" customWidth="1"/>
    <col min="661" max="661" width="15.77734375" bestFit="1" customWidth="1"/>
    <col min="662" max="662" width="15.88671875" bestFit="1" customWidth="1"/>
    <col min="663" max="663" width="14.6640625" bestFit="1" customWidth="1"/>
    <col min="664" max="664" width="14.77734375" bestFit="1" customWidth="1"/>
    <col min="665" max="665" width="15.5546875" bestFit="1" customWidth="1"/>
    <col min="666" max="666" width="15" bestFit="1" customWidth="1"/>
    <col min="667" max="667" width="16.109375" bestFit="1" customWidth="1"/>
    <col min="668" max="668" width="14.88671875" bestFit="1" customWidth="1"/>
    <col min="669" max="669" width="15.44140625" bestFit="1" customWidth="1"/>
    <col min="670" max="670" width="16" bestFit="1" customWidth="1"/>
    <col min="671" max="671" width="15.44140625" bestFit="1" customWidth="1"/>
    <col min="672" max="672" width="15.5546875" bestFit="1" customWidth="1"/>
    <col min="673" max="673" width="15" bestFit="1" customWidth="1"/>
    <col min="674" max="674" width="15.44140625" bestFit="1" customWidth="1"/>
    <col min="675" max="675" width="16.21875" bestFit="1" customWidth="1"/>
    <col min="676" max="676" width="16.109375" bestFit="1" customWidth="1"/>
    <col min="677" max="677" width="15" bestFit="1" customWidth="1"/>
    <col min="678" max="678" width="14.5546875" bestFit="1" customWidth="1"/>
    <col min="679" max="679" width="15.21875" bestFit="1" customWidth="1"/>
    <col min="680" max="680" width="15" bestFit="1" customWidth="1"/>
    <col min="681" max="681" width="15.44140625" bestFit="1" customWidth="1"/>
    <col min="682" max="682" width="15.21875" bestFit="1" customWidth="1"/>
    <col min="683" max="683" width="15" bestFit="1" customWidth="1"/>
    <col min="684" max="684" width="14.6640625" bestFit="1" customWidth="1"/>
    <col min="685" max="685" width="15" bestFit="1" customWidth="1"/>
    <col min="686" max="686" width="15.21875" bestFit="1" customWidth="1"/>
    <col min="687" max="687" width="15.109375" bestFit="1" customWidth="1"/>
    <col min="688" max="688" width="15.77734375" bestFit="1" customWidth="1"/>
    <col min="689" max="689" width="14.88671875" bestFit="1" customWidth="1"/>
    <col min="690" max="690" width="15.6640625" bestFit="1" customWidth="1"/>
    <col min="691" max="691" width="14.109375" bestFit="1" customWidth="1"/>
    <col min="692" max="692" width="14.6640625" bestFit="1" customWidth="1"/>
    <col min="693" max="693" width="15" bestFit="1" customWidth="1"/>
    <col min="694" max="696" width="15.21875" bestFit="1" customWidth="1"/>
    <col min="697" max="697" width="15.6640625" bestFit="1" customWidth="1"/>
    <col min="698" max="698" width="15.44140625" bestFit="1" customWidth="1"/>
    <col min="699" max="699" width="14.6640625" bestFit="1" customWidth="1"/>
    <col min="700" max="700" width="15.5546875" bestFit="1" customWidth="1"/>
    <col min="701" max="701" width="15.21875" bestFit="1" customWidth="1"/>
    <col min="702" max="702" width="14.77734375" bestFit="1" customWidth="1"/>
    <col min="703" max="703" width="14.88671875" bestFit="1" customWidth="1"/>
    <col min="704" max="704" width="15.44140625" bestFit="1" customWidth="1"/>
    <col min="705" max="705" width="15" bestFit="1" customWidth="1"/>
    <col min="706" max="706" width="14.77734375" bestFit="1" customWidth="1"/>
    <col min="707" max="708" width="15.109375" bestFit="1" customWidth="1"/>
    <col min="709" max="710" width="14.88671875" bestFit="1" customWidth="1"/>
    <col min="711" max="711" width="16" bestFit="1" customWidth="1"/>
    <col min="712" max="712" width="15.44140625" bestFit="1" customWidth="1"/>
    <col min="713" max="713" width="15.21875" bestFit="1" customWidth="1"/>
    <col min="714" max="714" width="14.77734375" bestFit="1" customWidth="1"/>
    <col min="715" max="715" width="15.6640625" bestFit="1" customWidth="1"/>
    <col min="716" max="716" width="15.5546875" bestFit="1" customWidth="1"/>
    <col min="717" max="717" width="14.77734375" bestFit="1" customWidth="1"/>
    <col min="718" max="718" width="15.44140625" bestFit="1" customWidth="1"/>
    <col min="719" max="719" width="14.21875" bestFit="1" customWidth="1"/>
    <col min="720" max="720" width="15" bestFit="1" customWidth="1"/>
    <col min="721" max="721" width="15.5546875" bestFit="1" customWidth="1"/>
    <col min="722" max="722" width="15.21875" bestFit="1" customWidth="1"/>
    <col min="723" max="723" width="15" bestFit="1" customWidth="1"/>
    <col min="724" max="724" width="15.88671875" bestFit="1" customWidth="1"/>
    <col min="725" max="725" width="16.6640625" bestFit="1" customWidth="1"/>
    <col min="726" max="726" width="15.21875" bestFit="1" customWidth="1"/>
    <col min="727" max="727" width="14.77734375" bestFit="1" customWidth="1"/>
    <col min="728" max="728" width="15.6640625" bestFit="1" customWidth="1"/>
    <col min="729" max="729" width="15.5546875" bestFit="1" customWidth="1"/>
    <col min="730" max="730" width="16.21875" bestFit="1" customWidth="1"/>
    <col min="731" max="731" width="15.21875" bestFit="1" customWidth="1"/>
    <col min="732" max="732" width="14.88671875" bestFit="1" customWidth="1"/>
    <col min="733" max="733" width="15" bestFit="1" customWidth="1"/>
    <col min="734" max="734" width="14.88671875" bestFit="1" customWidth="1"/>
    <col min="735" max="735" width="15.88671875" bestFit="1" customWidth="1"/>
    <col min="736" max="736" width="15.44140625" bestFit="1" customWidth="1"/>
    <col min="737" max="737" width="15.21875" bestFit="1" customWidth="1"/>
    <col min="738" max="738" width="15" bestFit="1" customWidth="1"/>
    <col min="739" max="739" width="16.109375" bestFit="1" customWidth="1"/>
    <col min="740" max="740" width="15.44140625" bestFit="1" customWidth="1"/>
    <col min="741" max="741" width="15.5546875" bestFit="1" customWidth="1"/>
    <col min="742" max="742" width="15.21875" bestFit="1" customWidth="1"/>
    <col min="743" max="743" width="15.44140625" bestFit="1" customWidth="1"/>
    <col min="744" max="744" width="16.109375" bestFit="1" customWidth="1"/>
    <col min="745" max="745" width="15.44140625" bestFit="1" customWidth="1"/>
    <col min="746" max="746" width="14.6640625" bestFit="1" customWidth="1"/>
    <col min="747" max="747" width="15.5546875" bestFit="1" customWidth="1"/>
    <col min="748" max="748" width="14.5546875" bestFit="1" customWidth="1"/>
    <col min="749" max="749" width="14.6640625" bestFit="1" customWidth="1"/>
    <col min="750" max="750" width="14.88671875" bestFit="1" customWidth="1"/>
    <col min="751" max="751" width="14.77734375" bestFit="1" customWidth="1"/>
    <col min="752" max="752" width="15.77734375" bestFit="1" customWidth="1"/>
    <col min="753" max="753" width="14.5546875" bestFit="1" customWidth="1"/>
    <col min="754" max="754" width="15.77734375" bestFit="1" customWidth="1"/>
    <col min="755" max="755" width="15.109375" bestFit="1" customWidth="1"/>
    <col min="756" max="756" width="14.6640625" bestFit="1" customWidth="1"/>
    <col min="757" max="757" width="15.109375" bestFit="1" customWidth="1"/>
    <col min="758" max="758" width="15.21875" bestFit="1" customWidth="1"/>
    <col min="759" max="759" width="15.44140625" bestFit="1" customWidth="1"/>
    <col min="760" max="760" width="15" bestFit="1" customWidth="1"/>
    <col min="761" max="761" width="15.44140625" bestFit="1" customWidth="1"/>
    <col min="762" max="762" width="14.88671875" bestFit="1" customWidth="1"/>
    <col min="763" max="763" width="15.5546875" bestFit="1" customWidth="1"/>
    <col min="764" max="764" width="15.6640625" bestFit="1" customWidth="1"/>
    <col min="765" max="765" width="15.44140625" bestFit="1" customWidth="1"/>
    <col min="766" max="767" width="15.77734375" bestFit="1" customWidth="1"/>
    <col min="768" max="769" width="15.5546875" bestFit="1" customWidth="1"/>
    <col min="770" max="770" width="15.109375" bestFit="1" customWidth="1"/>
    <col min="771" max="771" width="16" bestFit="1" customWidth="1"/>
    <col min="772" max="773" width="15.21875" bestFit="1" customWidth="1"/>
    <col min="774" max="774" width="15.44140625" bestFit="1" customWidth="1"/>
    <col min="775" max="775" width="15.6640625" bestFit="1" customWidth="1"/>
    <col min="776" max="776" width="15.21875" bestFit="1" customWidth="1"/>
    <col min="777" max="777" width="15.6640625" bestFit="1" customWidth="1"/>
    <col min="778" max="778" width="16.109375" bestFit="1" customWidth="1"/>
    <col min="779" max="779" width="15.21875" bestFit="1" customWidth="1"/>
    <col min="780" max="780" width="16" bestFit="1" customWidth="1"/>
    <col min="781" max="781" width="15" bestFit="1" customWidth="1"/>
    <col min="782" max="782" width="15.21875" bestFit="1" customWidth="1"/>
    <col min="783" max="783" width="15" bestFit="1" customWidth="1"/>
    <col min="784" max="785" width="15.44140625" bestFit="1" customWidth="1"/>
    <col min="786" max="786" width="15.21875" bestFit="1" customWidth="1"/>
    <col min="787" max="787" width="15.5546875" bestFit="1" customWidth="1"/>
    <col min="788" max="789" width="15.21875" bestFit="1" customWidth="1"/>
    <col min="790" max="790" width="15.77734375" bestFit="1" customWidth="1"/>
    <col min="791" max="791" width="15.109375" bestFit="1" customWidth="1"/>
    <col min="792" max="792" width="14.6640625" bestFit="1" customWidth="1"/>
    <col min="793" max="793" width="15.5546875" bestFit="1" customWidth="1"/>
    <col min="794" max="795" width="15.21875" bestFit="1" customWidth="1"/>
    <col min="796" max="796" width="15.109375" bestFit="1" customWidth="1"/>
    <col min="797" max="797" width="14.6640625" bestFit="1" customWidth="1"/>
    <col min="798" max="798" width="15.21875" bestFit="1" customWidth="1"/>
    <col min="799" max="799" width="15.6640625" bestFit="1" customWidth="1"/>
    <col min="800" max="800" width="15.44140625" bestFit="1" customWidth="1"/>
    <col min="801" max="801" width="16.21875" bestFit="1" customWidth="1"/>
    <col min="802" max="803" width="15.21875" bestFit="1" customWidth="1"/>
    <col min="804" max="804" width="16.109375" bestFit="1" customWidth="1"/>
    <col min="805" max="805" width="15" bestFit="1" customWidth="1"/>
    <col min="806" max="806" width="15.44140625" bestFit="1" customWidth="1"/>
    <col min="807" max="807" width="15.109375" bestFit="1" customWidth="1"/>
    <col min="808" max="808" width="15.44140625" bestFit="1" customWidth="1"/>
    <col min="809" max="809" width="16" bestFit="1" customWidth="1"/>
    <col min="810" max="810" width="15.6640625" bestFit="1" customWidth="1"/>
    <col min="811" max="811" width="15.21875" bestFit="1" customWidth="1"/>
    <col min="812" max="812" width="15.109375" bestFit="1" customWidth="1"/>
    <col min="813" max="813" width="15.5546875" bestFit="1" customWidth="1"/>
    <col min="814" max="814" width="15" bestFit="1" customWidth="1"/>
    <col min="815" max="815" width="15.109375" bestFit="1" customWidth="1"/>
    <col min="816" max="816" width="14.88671875" bestFit="1" customWidth="1"/>
    <col min="817" max="818" width="15.109375" bestFit="1" customWidth="1"/>
    <col min="819" max="819" width="15.6640625" bestFit="1" customWidth="1"/>
    <col min="820" max="820" width="15.5546875" bestFit="1" customWidth="1"/>
    <col min="821" max="821" width="16" bestFit="1" customWidth="1"/>
    <col min="822" max="822" width="15.44140625" bestFit="1" customWidth="1"/>
    <col min="823" max="823" width="15.109375" bestFit="1" customWidth="1"/>
    <col min="824" max="824" width="15.44140625" bestFit="1" customWidth="1"/>
    <col min="825" max="825" width="15.5546875" bestFit="1" customWidth="1"/>
    <col min="826" max="826" width="15.21875" bestFit="1" customWidth="1"/>
    <col min="827" max="827" width="15.109375" bestFit="1" customWidth="1"/>
    <col min="828" max="828" width="15.21875" bestFit="1" customWidth="1"/>
    <col min="829" max="829" width="14.77734375" bestFit="1" customWidth="1"/>
    <col min="830" max="830" width="15" bestFit="1" customWidth="1"/>
    <col min="831" max="831" width="15.109375" bestFit="1" customWidth="1"/>
    <col min="832" max="832" width="15.77734375" bestFit="1" customWidth="1"/>
    <col min="833" max="833" width="15.5546875" bestFit="1" customWidth="1"/>
    <col min="834" max="834" width="14.88671875" bestFit="1" customWidth="1"/>
    <col min="835" max="835" width="15.21875" bestFit="1" customWidth="1"/>
    <col min="836" max="836" width="16" bestFit="1" customWidth="1"/>
    <col min="837" max="837" width="14.77734375" bestFit="1" customWidth="1"/>
    <col min="838" max="838" width="14.6640625" bestFit="1" customWidth="1"/>
    <col min="839" max="839" width="15.5546875" bestFit="1" customWidth="1"/>
    <col min="840" max="840" width="14.88671875" bestFit="1" customWidth="1"/>
    <col min="841" max="841" width="15.21875" bestFit="1" customWidth="1"/>
    <col min="842" max="842" width="14.21875" bestFit="1" customWidth="1"/>
    <col min="843" max="843" width="15.6640625" bestFit="1" customWidth="1"/>
    <col min="844" max="844" width="15.44140625" bestFit="1" customWidth="1"/>
    <col min="845" max="845" width="14.6640625" bestFit="1" customWidth="1"/>
    <col min="846" max="847" width="15.21875" bestFit="1" customWidth="1"/>
    <col min="848" max="848" width="14.88671875" bestFit="1" customWidth="1"/>
    <col min="849" max="849" width="15.5546875" bestFit="1" customWidth="1"/>
    <col min="850" max="850" width="15.109375" bestFit="1" customWidth="1"/>
    <col min="851" max="851" width="15.5546875" bestFit="1" customWidth="1"/>
    <col min="852" max="852" width="15.109375" bestFit="1" customWidth="1"/>
    <col min="853" max="853" width="15.21875" bestFit="1" customWidth="1"/>
    <col min="854" max="854" width="15.5546875" bestFit="1" customWidth="1"/>
    <col min="855" max="855" width="15" bestFit="1" customWidth="1"/>
    <col min="856" max="857" width="15.21875" bestFit="1" customWidth="1"/>
    <col min="858" max="858" width="15.5546875" bestFit="1" customWidth="1"/>
    <col min="859" max="859" width="16.109375" bestFit="1" customWidth="1"/>
    <col min="860" max="860" width="16.21875" bestFit="1" customWidth="1"/>
    <col min="861" max="861" width="15.109375" bestFit="1" customWidth="1"/>
    <col min="862" max="862" width="14.77734375" bestFit="1" customWidth="1"/>
    <col min="863" max="864" width="16.109375" bestFit="1" customWidth="1"/>
    <col min="865" max="865" width="14.77734375" bestFit="1" customWidth="1"/>
    <col min="866" max="866" width="14.21875" bestFit="1" customWidth="1"/>
    <col min="867" max="868" width="15.44140625" bestFit="1" customWidth="1"/>
    <col min="869" max="869" width="14.77734375" bestFit="1" customWidth="1"/>
    <col min="870" max="870" width="15.21875" bestFit="1" customWidth="1"/>
    <col min="871" max="871" width="15.44140625" bestFit="1" customWidth="1"/>
    <col min="872" max="873" width="15.6640625" bestFit="1" customWidth="1"/>
    <col min="874" max="874" width="14.88671875" bestFit="1" customWidth="1"/>
    <col min="875" max="875" width="15.6640625" bestFit="1" customWidth="1"/>
    <col min="876" max="876" width="14.77734375" bestFit="1" customWidth="1"/>
    <col min="877" max="879" width="15.44140625" bestFit="1" customWidth="1"/>
    <col min="880" max="880" width="15.21875" bestFit="1" customWidth="1"/>
    <col min="881" max="881" width="15.109375" bestFit="1" customWidth="1"/>
    <col min="882" max="882" width="15.21875" bestFit="1" customWidth="1"/>
    <col min="883" max="883" width="15.44140625" bestFit="1" customWidth="1"/>
    <col min="884" max="884" width="16" bestFit="1" customWidth="1"/>
    <col min="885" max="885" width="15.77734375" bestFit="1" customWidth="1"/>
    <col min="886" max="886" width="14.5546875" bestFit="1" customWidth="1"/>
    <col min="887" max="887" width="14.88671875" bestFit="1" customWidth="1"/>
    <col min="888" max="888" width="15.5546875" bestFit="1" customWidth="1"/>
    <col min="889" max="889" width="14.6640625" bestFit="1" customWidth="1"/>
    <col min="890" max="890" width="15.21875" bestFit="1" customWidth="1"/>
    <col min="891" max="891" width="15.5546875" bestFit="1" customWidth="1"/>
    <col min="892" max="892" width="15.44140625" bestFit="1" customWidth="1"/>
    <col min="893" max="893" width="16" bestFit="1" customWidth="1"/>
    <col min="894" max="894" width="14.44140625" bestFit="1" customWidth="1"/>
    <col min="895" max="895" width="15.109375" bestFit="1" customWidth="1"/>
    <col min="896" max="896" width="14.5546875" bestFit="1" customWidth="1"/>
    <col min="897" max="897" width="15.109375" bestFit="1" customWidth="1"/>
    <col min="898" max="898" width="15.6640625" bestFit="1" customWidth="1"/>
    <col min="899" max="899" width="15.44140625" bestFit="1" customWidth="1"/>
    <col min="900" max="900" width="14.77734375" bestFit="1" customWidth="1"/>
    <col min="901" max="901" width="15.44140625" bestFit="1" customWidth="1"/>
    <col min="902" max="902" width="15" bestFit="1" customWidth="1"/>
    <col min="903" max="903" width="14.77734375" bestFit="1" customWidth="1"/>
    <col min="904" max="904" width="15.21875" bestFit="1" customWidth="1"/>
    <col min="905" max="906" width="15.6640625" bestFit="1" customWidth="1"/>
    <col min="907" max="907" width="15.109375" bestFit="1" customWidth="1"/>
    <col min="908" max="910" width="14.88671875" bestFit="1" customWidth="1"/>
    <col min="911" max="911" width="15.21875" bestFit="1" customWidth="1"/>
    <col min="912" max="912" width="15.77734375" bestFit="1" customWidth="1"/>
    <col min="913" max="914" width="15.5546875" bestFit="1" customWidth="1"/>
  </cols>
  <sheetData>
    <row r="3" spans="1:2" x14ac:dyDescent="0.3">
      <c r="A3" s="6" t="s">
        <v>3</v>
      </c>
      <c r="B3" t="s">
        <v>6217</v>
      </c>
    </row>
    <row r="4" spans="1:2" x14ac:dyDescent="0.3">
      <c r="A4" t="s">
        <v>1437</v>
      </c>
      <c r="B4" s="10">
        <v>1</v>
      </c>
    </row>
    <row r="5" spans="1:2" x14ac:dyDescent="0.3">
      <c r="A5" t="s">
        <v>4036</v>
      </c>
      <c r="B5" s="10">
        <v>1</v>
      </c>
    </row>
    <row r="6" spans="1:2" x14ac:dyDescent="0.3">
      <c r="A6" t="s">
        <v>650</v>
      </c>
      <c r="B6" s="10">
        <v>1</v>
      </c>
    </row>
    <row r="7" spans="1:2" x14ac:dyDescent="0.3">
      <c r="A7" t="s">
        <v>1672</v>
      </c>
      <c r="B7" s="10">
        <v>1</v>
      </c>
    </row>
    <row r="8" spans="1:2" x14ac:dyDescent="0.3">
      <c r="A8" t="s">
        <v>4581</v>
      </c>
      <c r="B8" s="10">
        <v>1</v>
      </c>
    </row>
    <row r="9" spans="1:2" x14ac:dyDescent="0.3">
      <c r="A9" t="s">
        <v>5074</v>
      </c>
      <c r="B9" s="10">
        <v>1</v>
      </c>
    </row>
    <row r="10" spans="1:2" x14ac:dyDescent="0.3">
      <c r="A10" t="s">
        <v>609</v>
      </c>
      <c r="B10" s="10">
        <v>1</v>
      </c>
    </row>
    <row r="11" spans="1:2" x14ac:dyDescent="0.3">
      <c r="A11" t="s">
        <v>2086</v>
      </c>
      <c r="B11" s="10">
        <v>1</v>
      </c>
    </row>
    <row r="12" spans="1:2" x14ac:dyDescent="0.3">
      <c r="A12" t="s">
        <v>1234</v>
      </c>
      <c r="B12" s="10">
        <v>1</v>
      </c>
    </row>
    <row r="13" spans="1:2" x14ac:dyDescent="0.3">
      <c r="A13" t="s">
        <v>6082</v>
      </c>
      <c r="B13" s="10">
        <v>1</v>
      </c>
    </row>
    <row r="14" spans="1:2" x14ac:dyDescent="0.3">
      <c r="A14" t="s">
        <v>1913</v>
      </c>
      <c r="B14" s="10">
        <v>1</v>
      </c>
    </row>
    <row r="15" spans="1:2" x14ac:dyDescent="0.3">
      <c r="A15" t="s">
        <v>5873</v>
      </c>
      <c r="B15" s="10">
        <v>1</v>
      </c>
    </row>
    <row r="16" spans="1:2" x14ac:dyDescent="0.3">
      <c r="A16" t="s">
        <v>4298</v>
      </c>
      <c r="B16" s="10">
        <v>1</v>
      </c>
    </row>
    <row r="17" spans="1:2" x14ac:dyDescent="0.3">
      <c r="A17" t="s">
        <v>2302</v>
      </c>
      <c r="B17" s="10">
        <v>1</v>
      </c>
    </row>
    <row r="18" spans="1:2" x14ac:dyDescent="0.3">
      <c r="A18" t="s">
        <v>2734</v>
      </c>
      <c r="B18" s="10">
        <v>1</v>
      </c>
    </row>
    <row r="19" spans="1:2" x14ac:dyDescent="0.3">
      <c r="A19" t="s">
        <v>3301</v>
      </c>
      <c r="B19" s="10">
        <v>1</v>
      </c>
    </row>
    <row r="20" spans="1:2" x14ac:dyDescent="0.3">
      <c r="A20" t="s">
        <v>1096</v>
      </c>
      <c r="B20" s="10">
        <v>1</v>
      </c>
    </row>
    <row r="21" spans="1:2" x14ac:dyDescent="0.3">
      <c r="A21" t="s">
        <v>2441</v>
      </c>
      <c r="B21" s="10">
        <v>1</v>
      </c>
    </row>
    <row r="22" spans="1:2" x14ac:dyDescent="0.3">
      <c r="A22" t="s">
        <v>1118</v>
      </c>
      <c r="B22" s="10">
        <v>1</v>
      </c>
    </row>
    <row r="23" spans="1:2" x14ac:dyDescent="0.3">
      <c r="A23" t="s">
        <v>3566</v>
      </c>
      <c r="B23" s="10">
        <v>1</v>
      </c>
    </row>
    <row r="24" spans="1:2" x14ac:dyDescent="0.3">
      <c r="A24" t="s">
        <v>6048</v>
      </c>
      <c r="B24" s="10">
        <v>1</v>
      </c>
    </row>
    <row r="25" spans="1:2" x14ac:dyDescent="0.3">
      <c r="A25" t="s">
        <v>4815</v>
      </c>
      <c r="B25" s="10">
        <v>1</v>
      </c>
    </row>
    <row r="26" spans="1:2" x14ac:dyDescent="0.3">
      <c r="A26" t="s">
        <v>2667</v>
      </c>
      <c r="B26" s="10">
        <v>1</v>
      </c>
    </row>
    <row r="27" spans="1:2" x14ac:dyDescent="0.3">
      <c r="A27" t="s">
        <v>1049</v>
      </c>
      <c r="B27" s="10">
        <v>1</v>
      </c>
    </row>
    <row r="28" spans="1:2" x14ac:dyDescent="0.3">
      <c r="A28" t="s">
        <v>5346</v>
      </c>
      <c r="B28" s="10">
        <v>1</v>
      </c>
    </row>
    <row r="29" spans="1:2" x14ac:dyDescent="0.3">
      <c r="A29" t="s">
        <v>3159</v>
      </c>
      <c r="B29" s="10">
        <v>1</v>
      </c>
    </row>
    <row r="30" spans="1:2" x14ac:dyDescent="0.3">
      <c r="A30" t="s">
        <v>1737</v>
      </c>
      <c r="B30" s="10">
        <v>1</v>
      </c>
    </row>
    <row r="31" spans="1:2" x14ac:dyDescent="0.3">
      <c r="A31" t="s">
        <v>5386</v>
      </c>
      <c r="B31" s="10">
        <v>1</v>
      </c>
    </row>
    <row r="32" spans="1:2" x14ac:dyDescent="0.3">
      <c r="A32" t="s">
        <v>4186</v>
      </c>
      <c r="B32" s="10">
        <v>1</v>
      </c>
    </row>
    <row r="33" spans="1:2" x14ac:dyDescent="0.3">
      <c r="A33" t="s">
        <v>1362</v>
      </c>
      <c r="B33" s="10">
        <v>1</v>
      </c>
    </row>
    <row r="34" spans="1:2" x14ac:dyDescent="0.3">
      <c r="A34" t="s">
        <v>4876</v>
      </c>
      <c r="B34" s="10">
        <v>1</v>
      </c>
    </row>
    <row r="35" spans="1:2" x14ac:dyDescent="0.3">
      <c r="A35" t="s">
        <v>1329</v>
      </c>
      <c r="B35" s="10">
        <v>1</v>
      </c>
    </row>
    <row r="36" spans="1:2" x14ac:dyDescent="0.3">
      <c r="A36" t="s">
        <v>2840</v>
      </c>
      <c r="B36" s="10">
        <v>1</v>
      </c>
    </row>
    <row r="37" spans="1:2" x14ac:dyDescent="0.3">
      <c r="A37" t="s">
        <v>5229</v>
      </c>
      <c r="B37" s="10">
        <v>1</v>
      </c>
    </row>
    <row r="38" spans="1:2" x14ac:dyDescent="0.3">
      <c r="A38" t="s">
        <v>5263</v>
      </c>
      <c r="B38" s="10">
        <v>1</v>
      </c>
    </row>
    <row r="39" spans="1:2" x14ac:dyDescent="0.3">
      <c r="A39" t="s">
        <v>3997</v>
      </c>
      <c r="B39" s="10">
        <v>1</v>
      </c>
    </row>
    <row r="40" spans="1:2" x14ac:dyDescent="0.3">
      <c r="A40" t="s">
        <v>5716</v>
      </c>
      <c r="B40" s="10">
        <v>1</v>
      </c>
    </row>
    <row r="41" spans="1:2" x14ac:dyDescent="0.3">
      <c r="A41" t="s">
        <v>1019</v>
      </c>
      <c r="B41" s="10">
        <v>1</v>
      </c>
    </row>
    <row r="42" spans="1:2" x14ac:dyDescent="0.3">
      <c r="A42" t="s">
        <v>656</v>
      </c>
      <c r="B42" s="10">
        <v>1</v>
      </c>
    </row>
    <row r="43" spans="1:2" x14ac:dyDescent="0.3">
      <c r="A43" t="s">
        <v>2804</v>
      </c>
      <c r="B43" s="10">
        <v>1</v>
      </c>
    </row>
    <row r="44" spans="1:2" x14ac:dyDescent="0.3">
      <c r="A44" t="s">
        <v>3946</v>
      </c>
      <c r="B44" s="10">
        <v>1</v>
      </c>
    </row>
    <row r="45" spans="1:2" x14ac:dyDescent="0.3">
      <c r="A45" t="s">
        <v>4042</v>
      </c>
      <c r="B45" s="10">
        <v>1</v>
      </c>
    </row>
    <row r="46" spans="1:2" x14ac:dyDescent="0.3">
      <c r="A46" t="s">
        <v>3356</v>
      </c>
      <c r="B46" s="10">
        <v>1</v>
      </c>
    </row>
    <row r="47" spans="1:2" x14ac:dyDescent="0.3">
      <c r="A47" t="s">
        <v>5352</v>
      </c>
      <c r="B47" s="10">
        <v>1</v>
      </c>
    </row>
    <row r="48" spans="1:2" x14ac:dyDescent="0.3">
      <c r="A48" t="s">
        <v>762</v>
      </c>
      <c r="B48" s="10">
        <v>1</v>
      </c>
    </row>
    <row r="49" spans="1:2" x14ac:dyDescent="0.3">
      <c r="A49" t="s">
        <v>5428</v>
      </c>
      <c r="B49" s="10">
        <v>1</v>
      </c>
    </row>
    <row r="50" spans="1:2" x14ac:dyDescent="0.3">
      <c r="A50" t="s">
        <v>2586</v>
      </c>
      <c r="B50" s="10">
        <v>1</v>
      </c>
    </row>
    <row r="51" spans="1:2" x14ac:dyDescent="0.3">
      <c r="A51" t="s">
        <v>4654</v>
      </c>
      <c r="B51" s="10">
        <v>1</v>
      </c>
    </row>
    <row r="52" spans="1:2" x14ac:dyDescent="0.3">
      <c r="A52" t="s">
        <v>2814</v>
      </c>
      <c r="B52" s="10">
        <v>1</v>
      </c>
    </row>
    <row r="53" spans="1:2" x14ac:dyDescent="0.3">
      <c r="A53" t="s">
        <v>2222</v>
      </c>
      <c r="B53" s="10">
        <v>1</v>
      </c>
    </row>
    <row r="54" spans="1:2" x14ac:dyDescent="0.3">
      <c r="A54" t="s">
        <v>1211</v>
      </c>
      <c r="B54" s="10">
        <v>1</v>
      </c>
    </row>
    <row r="55" spans="1:2" x14ac:dyDescent="0.3">
      <c r="A55" t="s">
        <v>3752</v>
      </c>
      <c r="B55" s="10">
        <v>1</v>
      </c>
    </row>
    <row r="56" spans="1:2" x14ac:dyDescent="0.3">
      <c r="A56" t="s">
        <v>5615</v>
      </c>
      <c r="B56" s="10">
        <v>1</v>
      </c>
    </row>
    <row r="57" spans="1:2" x14ac:dyDescent="0.3">
      <c r="A57" t="s">
        <v>5434</v>
      </c>
      <c r="B57" s="10">
        <v>1</v>
      </c>
    </row>
    <row r="58" spans="1:2" x14ac:dyDescent="0.3">
      <c r="A58" t="s">
        <v>1890</v>
      </c>
      <c r="B58" s="10">
        <v>1</v>
      </c>
    </row>
    <row r="59" spans="1:2" x14ac:dyDescent="0.3">
      <c r="A59" t="s">
        <v>502</v>
      </c>
      <c r="B59" s="10">
        <v>1</v>
      </c>
    </row>
    <row r="60" spans="1:2" x14ac:dyDescent="0.3">
      <c r="A60" t="s">
        <v>4489</v>
      </c>
      <c r="B60" s="10">
        <v>1</v>
      </c>
    </row>
    <row r="61" spans="1:2" x14ac:dyDescent="0.3">
      <c r="A61" t="s">
        <v>4980</v>
      </c>
      <c r="B61" s="10">
        <v>1</v>
      </c>
    </row>
    <row r="62" spans="1:2" x14ac:dyDescent="0.3">
      <c r="A62" t="s">
        <v>3131</v>
      </c>
      <c r="B62" s="10">
        <v>1</v>
      </c>
    </row>
    <row r="63" spans="1:2" x14ac:dyDescent="0.3">
      <c r="A63" t="s">
        <v>2493</v>
      </c>
      <c r="B63" s="10">
        <v>1</v>
      </c>
    </row>
    <row r="64" spans="1:2" x14ac:dyDescent="0.3">
      <c r="A64" t="s">
        <v>627</v>
      </c>
      <c r="B64" s="10">
        <v>1</v>
      </c>
    </row>
    <row r="65" spans="1:2" x14ac:dyDescent="0.3">
      <c r="A65" t="s">
        <v>4706</v>
      </c>
      <c r="B65" s="10">
        <v>1</v>
      </c>
    </row>
    <row r="66" spans="1:2" x14ac:dyDescent="0.3">
      <c r="A66" t="s">
        <v>3165</v>
      </c>
      <c r="B66" s="10">
        <v>1</v>
      </c>
    </row>
    <row r="67" spans="1:2" x14ac:dyDescent="0.3">
      <c r="A67" t="s">
        <v>688</v>
      </c>
      <c r="B67" s="10">
        <v>1</v>
      </c>
    </row>
    <row r="68" spans="1:2" x14ac:dyDescent="0.3">
      <c r="A68" t="s">
        <v>4759</v>
      </c>
      <c r="B68" s="10">
        <v>1</v>
      </c>
    </row>
    <row r="69" spans="1:2" x14ac:dyDescent="0.3">
      <c r="A69" t="s">
        <v>4689</v>
      </c>
      <c r="B69" s="10">
        <v>1</v>
      </c>
    </row>
    <row r="70" spans="1:2" x14ac:dyDescent="0.3">
      <c r="A70" t="s">
        <v>4440</v>
      </c>
      <c r="B70" s="10">
        <v>1</v>
      </c>
    </row>
    <row r="71" spans="1:2" x14ac:dyDescent="0.3">
      <c r="A71" t="s">
        <v>2010</v>
      </c>
      <c r="B71" s="10">
        <v>1</v>
      </c>
    </row>
    <row r="72" spans="1:2" x14ac:dyDescent="0.3">
      <c r="A72" t="s">
        <v>3350</v>
      </c>
      <c r="B72" s="10">
        <v>1</v>
      </c>
    </row>
    <row r="73" spans="1:2" x14ac:dyDescent="0.3">
      <c r="A73" t="s">
        <v>943</v>
      </c>
      <c r="B73" s="10">
        <v>1</v>
      </c>
    </row>
    <row r="74" spans="1:2" x14ac:dyDescent="0.3">
      <c r="A74" t="s">
        <v>3746</v>
      </c>
      <c r="B74" s="10">
        <v>1</v>
      </c>
    </row>
    <row r="75" spans="1:2" x14ac:dyDescent="0.3">
      <c r="A75" t="s">
        <v>2292</v>
      </c>
      <c r="B75" s="10">
        <v>1</v>
      </c>
    </row>
    <row r="76" spans="1:2" x14ac:dyDescent="0.3">
      <c r="A76" t="s">
        <v>5979</v>
      </c>
      <c r="B76" s="10">
        <v>1</v>
      </c>
    </row>
    <row r="77" spans="1:2" x14ac:dyDescent="0.3">
      <c r="A77" t="s">
        <v>4257</v>
      </c>
      <c r="B77" s="10">
        <v>1</v>
      </c>
    </row>
    <row r="78" spans="1:2" x14ac:dyDescent="0.3">
      <c r="A78" t="s">
        <v>3077</v>
      </c>
      <c r="B78" s="10">
        <v>1</v>
      </c>
    </row>
    <row r="79" spans="1:2" x14ac:dyDescent="0.3">
      <c r="A79" t="s">
        <v>1028</v>
      </c>
      <c r="B79" s="10">
        <v>1</v>
      </c>
    </row>
    <row r="80" spans="1:2" x14ac:dyDescent="0.3">
      <c r="A80" t="s">
        <v>4180</v>
      </c>
      <c r="B80" s="10">
        <v>1</v>
      </c>
    </row>
    <row r="81" spans="1:2" x14ac:dyDescent="0.3">
      <c r="A81" t="s">
        <v>1002</v>
      </c>
      <c r="B81" s="10">
        <v>1</v>
      </c>
    </row>
    <row r="82" spans="1:2" x14ac:dyDescent="0.3">
      <c r="A82" t="s">
        <v>2039</v>
      </c>
      <c r="B82" s="10">
        <v>1</v>
      </c>
    </row>
    <row r="83" spans="1:2" x14ac:dyDescent="0.3">
      <c r="A83" t="s">
        <v>972</v>
      </c>
      <c r="B83" s="10">
        <v>1</v>
      </c>
    </row>
    <row r="84" spans="1:2" x14ac:dyDescent="0.3">
      <c r="A84" t="s">
        <v>5845</v>
      </c>
      <c r="B84" s="10">
        <v>1</v>
      </c>
    </row>
    <row r="85" spans="1:2" x14ac:dyDescent="0.3">
      <c r="A85" t="s">
        <v>3729</v>
      </c>
      <c r="B85" s="10">
        <v>1</v>
      </c>
    </row>
    <row r="86" spans="1:2" x14ac:dyDescent="0.3">
      <c r="A86" t="s">
        <v>5422</v>
      </c>
      <c r="B86" s="10">
        <v>1</v>
      </c>
    </row>
    <row r="87" spans="1:2" x14ac:dyDescent="0.3">
      <c r="A87" t="s">
        <v>2182</v>
      </c>
      <c r="B87" s="10">
        <v>1</v>
      </c>
    </row>
    <row r="88" spans="1:2" x14ac:dyDescent="0.3">
      <c r="A88" t="s">
        <v>4094</v>
      </c>
      <c r="B88" s="10">
        <v>1</v>
      </c>
    </row>
    <row r="89" spans="1:2" x14ac:dyDescent="0.3">
      <c r="A89" t="s">
        <v>756</v>
      </c>
      <c r="B89" s="10">
        <v>1</v>
      </c>
    </row>
    <row r="90" spans="1:2" x14ac:dyDescent="0.3">
      <c r="A90" t="s">
        <v>1987</v>
      </c>
      <c r="B90" s="10">
        <v>1</v>
      </c>
    </row>
    <row r="91" spans="1:2" x14ac:dyDescent="0.3">
      <c r="A91" t="s">
        <v>2194</v>
      </c>
      <c r="B91" s="10">
        <v>1</v>
      </c>
    </row>
    <row r="92" spans="1:2" x14ac:dyDescent="0.3">
      <c r="A92" t="s">
        <v>1199</v>
      </c>
      <c r="B92" s="10">
        <v>1</v>
      </c>
    </row>
    <row r="93" spans="1:2" x14ac:dyDescent="0.3">
      <c r="A93" t="s">
        <v>6107</v>
      </c>
      <c r="B93" s="10">
        <v>1</v>
      </c>
    </row>
    <row r="94" spans="1:2" x14ac:dyDescent="0.3">
      <c r="A94" t="s">
        <v>5171</v>
      </c>
      <c r="B94" s="10">
        <v>1</v>
      </c>
    </row>
    <row r="95" spans="1:2" x14ac:dyDescent="0.3">
      <c r="A95" t="s">
        <v>997</v>
      </c>
      <c r="B95" s="10">
        <v>1</v>
      </c>
    </row>
    <row r="96" spans="1:2" x14ac:dyDescent="0.3">
      <c r="A96" t="s">
        <v>4451</v>
      </c>
      <c r="B96" s="10">
        <v>1</v>
      </c>
    </row>
    <row r="97" spans="1:2" x14ac:dyDescent="0.3">
      <c r="A97" t="s">
        <v>4202</v>
      </c>
      <c r="B97" s="10">
        <v>1</v>
      </c>
    </row>
    <row r="98" spans="1:2" x14ac:dyDescent="0.3">
      <c r="A98" t="s">
        <v>5726</v>
      </c>
      <c r="B98" s="10">
        <v>1</v>
      </c>
    </row>
    <row r="99" spans="1:2" x14ac:dyDescent="0.3">
      <c r="A99" t="s">
        <v>4224</v>
      </c>
      <c r="B99" s="10">
        <v>1</v>
      </c>
    </row>
    <row r="100" spans="1:2" x14ac:dyDescent="0.3">
      <c r="A100" t="s">
        <v>1023</v>
      </c>
      <c r="B100" s="10">
        <v>1</v>
      </c>
    </row>
    <row r="101" spans="1:2" x14ac:dyDescent="0.3">
      <c r="A101" t="s">
        <v>3725</v>
      </c>
      <c r="B101" s="10">
        <v>1</v>
      </c>
    </row>
    <row r="102" spans="1:2" x14ac:dyDescent="0.3">
      <c r="A102" t="s">
        <v>2033</v>
      </c>
      <c r="B102" s="10">
        <v>1</v>
      </c>
    </row>
    <row r="103" spans="1:2" x14ac:dyDescent="0.3">
      <c r="A103" t="s">
        <v>2845</v>
      </c>
      <c r="B103" s="10">
        <v>1</v>
      </c>
    </row>
    <row r="104" spans="1:2" x14ac:dyDescent="0.3">
      <c r="A104" t="s">
        <v>4771</v>
      </c>
      <c r="B104" s="10">
        <v>1</v>
      </c>
    </row>
    <row r="105" spans="1:2" x14ac:dyDescent="0.3">
      <c r="A105" t="s">
        <v>5604</v>
      </c>
      <c r="B105" s="10">
        <v>1</v>
      </c>
    </row>
    <row r="106" spans="1:2" x14ac:dyDescent="0.3">
      <c r="A106" t="s">
        <v>2488</v>
      </c>
      <c r="B106" s="10">
        <v>1</v>
      </c>
    </row>
    <row r="107" spans="1:2" x14ac:dyDescent="0.3">
      <c r="A107" t="s">
        <v>5754</v>
      </c>
      <c r="B107" s="10">
        <v>1</v>
      </c>
    </row>
    <row r="108" spans="1:2" x14ac:dyDescent="0.3">
      <c r="A108" t="s">
        <v>5706</v>
      </c>
      <c r="B108" s="10">
        <v>1</v>
      </c>
    </row>
    <row r="109" spans="1:2" x14ac:dyDescent="0.3">
      <c r="A109" t="s">
        <v>4384</v>
      </c>
      <c r="B109" s="10">
        <v>1</v>
      </c>
    </row>
    <row r="110" spans="1:2" x14ac:dyDescent="0.3">
      <c r="A110" t="s">
        <v>2770</v>
      </c>
      <c r="B110" s="10">
        <v>1</v>
      </c>
    </row>
    <row r="111" spans="1:2" x14ac:dyDescent="0.3">
      <c r="A111" t="s">
        <v>4235</v>
      </c>
      <c r="B111" s="10">
        <v>1</v>
      </c>
    </row>
    <row r="112" spans="1:2" x14ac:dyDescent="0.3">
      <c r="A112" t="s">
        <v>5677</v>
      </c>
      <c r="B112" s="10">
        <v>1</v>
      </c>
    </row>
    <row r="113" spans="1:2" x14ac:dyDescent="0.3">
      <c r="A113" t="s">
        <v>4956</v>
      </c>
      <c r="B113" s="10">
        <v>1</v>
      </c>
    </row>
    <row r="114" spans="1:2" x14ac:dyDescent="0.3">
      <c r="A114" t="s">
        <v>5311</v>
      </c>
      <c r="B114" s="10">
        <v>1</v>
      </c>
    </row>
    <row r="115" spans="1:2" x14ac:dyDescent="0.3">
      <c r="A115" t="s">
        <v>4332</v>
      </c>
      <c r="B115" s="10">
        <v>1</v>
      </c>
    </row>
    <row r="116" spans="1:2" x14ac:dyDescent="0.3">
      <c r="A116" t="s">
        <v>2895</v>
      </c>
      <c r="B116" s="10">
        <v>1</v>
      </c>
    </row>
    <row r="117" spans="1:2" x14ac:dyDescent="0.3">
      <c r="A117" t="s">
        <v>1223</v>
      </c>
      <c r="B117" s="10">
        <v>1</v>
      </c>
    </row>
    <row r="118" spans="1:2" x14ac:dyDescent="0.3">
      <c r="A118" t="s">
        <v>1159</v>
      </c>
      <c r="B118" s="10">
        <v>1</v>
      </c>
    </row>
    <row r="119" spans="1:2" x14ac:dyDescent="0.3">
      <c r="A119" t="s">
        <v>5289</v>
      </c>
      <c r="B119" s="10">
        <v>1</v>
      </c>
    </row>
    <row r="120" spans="1:2" x14ac:dyDescent="0.3">
      <c r="A120" t="s">
        <v>2639</v>
      </c>
      <c r="B120" s="10">
        <v>1</v>
      </c>
    </row>
    <row r="121" spans="1:2" x14ac:dyDescent="0.3">
      <c r="A121" t="s">
        <v>638</v>
      </c>
      <c r="B121" s="10">
        <v>1</v>
      </c>
    </row>
    <row r="122" spans="1:2" x14ac:dyDescent="0.3">
      <c r="A122" t="s">
        <v>5922</v>
      </c>
      <c r="B122" s="10">
        <v>1</v>
      </c>
    </row>
    <row r="123" spans="1:2" x14ac:dyDescent="0.3">
      <c r="A123" t="s">
        <v>644</v>
      </c>
      <c r="B123" s="10">
        <v>1</v>
      </c>
    </row>
    <row r="124" spans="1:2" x14ac:dyDescent="0.3">
      <c r="A124" t="s">
        <v>4586</v>
      </c>
      <c r="B124" s="10">
        <v>1</v>
      </c>
    </row>
    <row r="125" spans="1:2" x14ac:dyDescent="0.3">
      <c r="A125" t="s">
        <v>662</v>
      </c>
      <c r="B125" s="10">
        <v>1</v>
      </c>
    </row>
    <row r="126" spans="1:2" x14ac:dyDescent="0.3">
      <c r="A126" t="s">
        <v>3845</v>
      </c>
      <c r="B126" s="10">
        <v>1</v>
      </c>
    </row>
    <row r="127" spans="1:2" x14ac:dyDescent="0.3">
      <c r="A127" t="s">
        <v>5274</v>
      </c>
      <c r="B127" s="10">
        <v>1</v>
      </c>
    </row>
    <row r="128" spans="1:2" x14ac:dyDescent="0.3">
      <c r="A128" t="s">
        <v>4378</v>
      </c>
      <c r="B128" s="10">
        <v>1</v>
      </c>
    </row>
    <row r="129" spans="1:2" x14ac:dyDescent="0.3">
      <c r="A129" t="s">
        <v>2108</v>
      </c>
      <c r="B129" s="10">
        <v>1</v>
      </c>
    </row>
    <row r="130" spans="1:2" x14ac:dyDescent="0.3">
      <c r="A130" t="s">
        <v>2924</v>
      </c>
      <c r="B130" s="10">
        <v>1</v>
      </c>
    </row>
    <row r="131" spans="1:2" x14ac:dyDescent="0.3">
      <c r="A131" t="s">
        <v>5392</v>
      </c>
      <c r="B131" s="10">
        <v>1</v>
      </c>
    </row>
    <row r="132" spans="1:2" x14ac:dyDescent="0.3">
      <c r="A132" t="s">
        <v>2286</v>
      </c>
      <c r="B132" s="10">
        <v>1</v>
      </c>
    </row>
    <row r="133" spans="1:2" x14ac:dyDescent="0.3">
      <c r="A133" t="s">
        <v>1666</v>
      </c>
      <c r="B133" s="10">
        <v>1</v>
      </c>
    </row>
    <row r="134" spans="1:2" x14ac:dyDescent="0.3">
      <c r="A134" t="s">
        <v>5188</v>
      </c>
      <c r="B134" s="10">
        <v>1</v>
      </c>
    </row>
    <row r="135" spans="1:2" x14ac:dyDescent="0.3">
      <c r="A135" t="s">
        <v>4140</v>
      </c>
      <c r="B135" s="10">
        <v>1</v>
      </c>
    </row>
    <row r="136" spans="1:2" x14ac:dyDescent="0.3">
      <c r="A136" t="s">
        <v>1396</v>
      </c>
      <c r="B136" s="10">
        <v>1</v>
      </c>
    </row>
    <row r="137" spans="1:2" x14ac:dyDescent="0.3">
      <c r="A137" t="s">
        <v>4882</v>
      </c>
      <c r="B137" s="10">
        <v>1</v>
      </c>
    </row>
    <row r="138" spans="1:2" x14ac:dyDescent="0.3">
      <c r="A138" t="s">
        <v>5985</v>
      </c>
      <c r="B138" s="10">
        <v>1</v>
      </c>
    </row>
    <row r="139" spans="1:2" x14ac:dyDescent="0.3">
      <c r="A139" t="s">
        <v>5554</v>
      </c>
      <c r="B139" s="10">
        <v>1</v>
      </c>
    </row>
    <row r="140" spans="1:2" x14ac:dyDescent="0.3">
      <c r="A140" t="s">
        <v>976</v>
      </c>
      <c r="B140" s="10">
        <v>1</v>
      </c>
    </row>
    <row r="141" spans="1:2" x14ac:dyDescent="0.3">
      <c r="A141" t="s">
        <v>828</v>
      </c>
      <c r="B141" s="10">
        <v>1</v>
      </c>
    </row>
    <row r="142" spans="1:2" x14ac:dyDescent="0.3">
      <c r="A142" t="s">
        <v>2138</v>
      </c>
      <c r="B142" s="10">
        <v>1</v>
      </c>
    </row>
    <row r="143" spans="1:2" x14ac:dyDescent="0.3">
      <c r="A143" t="s">
        <v>2969</v>
      </c>
      <c r="B143" s="10">
        <v>1</v>
      </c>
    </row>
    <row r="144" spans="1:2" x14ac:dyDescent="0.3">
      <c r="A144" t="s">
        <v>2604</v>
      </c>
      <c r="B144" s="10">
        <v>1</v>
      </c>
    </row>
    <row r="145" spans="1:2" x14ac:dyDescent="0.3">
      <c r="A145" t="s">
        <v>3649</v>
      </c>
      <c r="B145" s="10">
        <v>1</v>
      </c>
    </row>
    <row r="146" spans="1:2" x14ac:dyDescent="0.3">
      <c r="A146" t="s">
        <v>2580</v>
      </c>
      <c r="B146" s="10">
        <v>1</v>
      </c>
    </row>
    <row r="147" spans="1:2" x14ac:dyDescent="0.3">
      <c r="A147" t="s">
        <v>1368</v>
      </c>
      <c r="B147" s="10">
        <v>1</v>
      </c>
    </row>
    <row r="148" spans="1:2" x14ac:dyDescent="0.3">
      <c r="A148" t="s">
        <v>5279</v>
      </c>
      <c r="B148" s="10">
        <v>1</v>
      </c>
    </row>
    <row r="149" spans="1:2" x14ac:dyDescent="0.3">
      <c r="A149" t="s">
        <v>5177</v>
      </c>
      <c r="B149" s="10">
        <v>1</v>
      </c>
    </row>
    <row r="150" spans="1:2" x14ac:dyDescent="0.3">
      <c r="A150" t="s">
        <v>2700</v>
      </c>
      <c r="B150" s="10">
        <v>1</v>
      </c>
    </row>
    <row r="151" spans="1:2" x14ac:dyDescent="0.3">
      <c r="A151" t="s">
        <v>4457</v>
      </c>
      <c r="B151" s="10">
        <v>1</v>
      </c>
    </row>
    <row r="152" spans="1:2" x14ac:dyDescent="0.3">
      <c r="A152" t="s">
        <v>1175</v>
      </c>
      <c r="B152" s="10">
        <v>1</v>
      </c>
    </row>
    <row r="153" spans="1:2" x14ac:dyDescent="0.3">
      <c r="A153" t="s">
        <v>588</v>
      </c>
      <c r="B153" s="10">
        <v>1</v>
      </c>
    </row>
    <row r="154" spans="1:2" x14ac:dyDescent="0.3">
      <c r="A154" t="s">
        <v>6118</v>
      </c>
      <c r="B154" s="10">
        <v>1</v>
      </c>
    </row>
    <row r="155" spans="1:2" x14ac:dyDescent="0.3">
      <c r="A155" t="s">
        <v>2228</v>
      </c>
      <c r="B155" s="10">
        <v>1</v>
      </c>
    </row>
    <row r="156" spans="1:2" x14ac:dyDescent="0.3">
      <c r="A156" t="s">
        <v>2386</v>
      </c>
      <c r="B156" s="10">
        <v>1</v>
      </c>
    </row>
    <row r="157" spans="1:2" x14ac:dyDescent="0.3">
      <c r="A157" t="s">
        <v>2143</v>
      </c>
      <c r="B157" s="10">
        <v>1</v>
      </c>
    </row>
    <row r="158" spans="1:2" x14ac:dyDescent="0.3">
      <c r="A158" t="s">
        <v>931</v>
      </c>
      <c r="B158" s="10">
        <v>1</v>
      </c>
    </row>
    <row r="159" spans="1:2" x14ac:dyDescent="0.3">
      <c r="A159" t="s">
        <v>1033</v>
      </c>
      <c r="B159" s="10">
        <v>1</v>
      </c>
    </row>
    <row r="160" spans="1:2" x14ac:dyDescent="0.3">
      <c r="A160" t="s">
        <v>2510</v>
      </c>
      <c r="B160" s="10">
        <v>1</v>
      </c>
    </row>
    <row r="161" spans="1:2" x14ac:dyDescent="0.3">
      <c r="A161" t="s">
        <v>1591</v>
      </c>
      <c r="B161" s="10">
        <v>1</v>
      </c>
    </row>
    <row r="162" spans="1:2" x14ac:dyDescent="0.3">
      <c r="A162" t="s">
        <v>3554</v>
      </c>
      <c r="B162" s="10">
        <v>1</v>
      </c>
    </row>
    <row r="163" spans="1:2" x14ac:dyDescent="0.3">
      <c r="A163" t="s">
        <v>6128</v>
      </c>
      <c r="B163" s="10">
        <v>1</v>
      </c>
    </row>
    <row r="164" spans="1:2" x14ac:dyDescent="0.3">
      <c r="A164" t="s">
        <v>5526</v>
      </c>
      <c r="B164" s="10">
        <v>1</v>
      </c>
    </row>
    <row r="165" spans="1:2" x14ac:dyDescent="0.3">
      <c r="A165" t="s">
        <v>3368</v>
      </c>
      <c r="B165" s="10">
        <v>1</v>
      </c>
    </row>
    <row r="166" spans="1:2" x14ac:dyDescent="0.3">
      <c r="A166" t="s">
        <v>4804</v>
      </c>
      <c r="B166" s="10">
        <v>1</v>
      </c>
    </row>
    <row r="167" spans="1:2" x14ac:dyDescent="0.3">
      <c r="A167" t="s">
        <v>1504</v>
      </c>
      <c r="B167" s="10">
        <v>1</v>
      </c>
    </row>
    <row r="168" spans="1:2" x14ac:dyDescent="0.3">
      <c r="A168" t="s">
        <v>2128</v>
      </c>
      <c r="B168" s="10">
        <v>1</v>
      </c>
    </row>
    <row r="169" spans="1:2" x14ac:dyDescent="0.3">
      <c r="A169" t="s">
        <v>2867</v>
      </c>
      <c r="B169" s="10">
        <v>1</v>
      </c>
    </row>
    <row r="170" spans="1:2" x14ac:dyDescent="0.3">
      <c r="A170" t="s">
        <v>5661</v>
      </c>
      <c r="B170" s="10">
        <v>1</v>
      </c>
    </row>
    <row r="171" spans="1:2" x14ac:dyDescent="0.3">
      <c r="A171" t="s">
        <v>1284</v>
      </c>
      <c r="B171" s="10">
        <v>1</v>
      </c>
    </row>
    <row r="172" spans="1:2" x14ac:dyDescent="0.3">
      <c r="A172" t="s">
        <v>3042</v>
      </c>
      <c r="B172" s="10">
        <v>1</v>
      </c>
    </row>
    <row r="173" spans="1:2" x14ac:dyDescent="0.3">
      <c r="A173" t="s">
        <v>5823</v>
      </c>
      <c r="B173" s="10">
        <v>1</v>
      </c>
    </row>
    <row r="174" spans="1:2" x14ac:dyDescent="0.3">
      <c r="A174" t="s">
        <v>4748</v>
      </c>
      <c r="B174" s="10">
        <v>1</v>
      </c>
    </row>
    <row r="175" spans="1:2" x14ac:dyDescent="0.3">
      <c r="A175" t="s">
        <v>5810</v>
      </c>
      <c r="B175" s="10">
        <v>1</v>
      </c>
    </row>
    <row r="176" spans="1:2" x14ac:dyDescent="0.3">
      <c r="A176" t="s">
        <v>2656</v>
      </c>
      <c r="B176" s="10">
        <v>1</v>
      </c>
    </row>
    <row r="177" spans="1:2" x14ac:dyDescent="0.3">
      <c r="A177" t="s">
        <v>844</v>
      </c>
      <c r="B177" s="10">
        <v>1</v>
      </c>
    </row>
    <row r="178" spans="1:2" x14ac:dyDescent="0.3">
      <c r="A178" t="s">
        <v>3713</v>
      </c>
      <c r="B178" s="10">
        <v>1</v>
      </c>
    </row>
    <row r="179" spans="1:2" x14ac:dyDescent="0.3">
      <c r="A179" t="s">
        <v>5148</v>
      </c>
      <c r="B179" s="10">
        <v>1</v>
      </c>
    </row>
    <row r="180" spans="1:2" x14ac:dyDescent="0.3">
      <c r="A180" t="s">
        <v>3125</v>
      </c>
      <c r="B180" s="10">
        <v>1</v>
      </c>
    </row>
    <row r="181" spans="1:2" x14ac:dyDescent="0.3">
      <c r="A181" t="s">
        <v>4927</v>
      </c>
      <c r="B181" s="10">
        <v>1</v>
      </c>
    </row>
    <row r="182" spans="1:2" x14ac:dyDescent="0.3">
      <c r="A182" t="s">
        <v>2793</v>
      </c>
      <c r="B182" s="10">
        <v>1</v>
      </c>
    </row>
    <row r="183" spans="1:2" x14ac:dyDescent="0.3">
      <c r="A183" t="s">
        <v>3549</v>
      </c>
      <c r="B183" s="10">
        <v>1</v>
      </c>
    </row>
    <row r="184" spans="1:2" x14ac:dyDescent="0.3">
      <c r="A184" t="s">
        <v>2245</v>
      </c>
      <c r="B184" s="10">
        <v>1</v>
      </c>
    </row>
    <row r="185" spans="1:2" x14ac:dyDescent="0.3">
      <c r="A185" t="s">
        <v>2592</v>
      </c>
      <c r="B185" s="10">
        <v>1</v>
      </c>
    </row>
    <row r="186" spans="1:2" x14ac:dyDescent="0.3">
      <c r="A186" t="s">
        <v>1356</v>
      </c>
      <c r="B186" s="10">
        <v>1</v>
      </c>
    </row>
    <row r="187" spans="1:2" x14ac:dyDescent="0.3">
      <c r="A187" t="s">
        <v>1499</v>
      </c>
      <c r="B187" s="10">
        <v>1</v>
      </c>
    </row>
    <row r="188" spans="1:2" x14ac:dyDescent="0.3">
      <c r="A188" t="s">
        <v>898</v>
      </c>
      <c r="B188" s="10">
        <v>1</v>
      </c>
    </row>
    <row r="189" spans="1:2" x14ac:dyDescent="0.3">
      <c r="A189" t="s">
        <v>548</v>
      </c>
      <c r="B189" s="10">
        <v>1</v>
      </c>
    </row>
    <row r="190" spans="1:2" x14ac:dyDescent="0.3">
      <c r="A190" t="s">
        <v>2020</v>
      </c>
      <c r="B190" s="10">
        <v>1</v>
      </c>
    </row>
    <row r="191" spans="1:2" x14ac:dyDescent="0.3">
      <c r="A191" t="s">
        <v>599</v>
      </c>
      <c r="B191" s="10">
        <v>1</v>
      </c>
    </row>
    <row r="192" spans="1:2" x14ac:dyDescent="0.3">
      <c r="A192" t="s">
        <v>4809</v>
      </c>
      <c r="B192" s="10">
        <v>1</v>
      </c>
    </row>
    <row r="193" spans="1:2" x14ac:dyDescent="0.3">
      <c r="A193" t="s">
        <v>5484</v>
      </c>
      <c r="B193" s="10">
        <v>1</v>
      </c>
    </row>
    <row r="194" spans="1:2" x14ac:dyDescent="0.3">
      <c r="A194" t="s">
        <v>3660</v>
      </c>
      <c r="B194" s="10">
        <v>1</v>
      </c>
    </row>
    <row r="195" spans="1:2" x14ac:dyDescent="0.3">
      <c r="A195" t="s">
        <v>3101</v>
      </c>
      <c r="B195" s="10">
        <v>1</v>
      </c>
    </row>
    <row r="196" spans="1:2" x14ac:dyDescent="0.3">
      <c r="A196" t="s">
        <v>6102</v>
      </c>
      <c r="B196" s="10">
        <v>1</v>
      </c>
    </row>
    <row r="197" spans="1:2" x14ac:dyDescent="0.3">
      <c r="A197" t="s">
        <v>2722</v>
      </c>
      <c r="B197" s="10">
        <v>1</v>
      </c>
    </row>
    <row r="198" spans="1:2" x14ac:dyDescent="0.3">
      <c r="A198" t="s">
        <v>3380</v>
      </c>
      <c r="B198" s="10">
        <v>1</v>
      </c>
    </row>
    <row r="199" spans="1:2" x14ac:dyDescent="0.3">
      <c r="A199" t="s">
        <v>4251</v>
      </c>
      <c r="B199" s="10">
        <v>1</v>
      </c>
    </row>
    <row r="200" spans="1:2" x14ac:dyDescent="0.3">
      <c r="A200" t="s">
        <v>2063</v>
      </c>
      <c r="B200" s="10">
        <v>1</v>
      </c>
    </row>
    <row r="201" spans="1:2" x14ac:dyDescent="0.3">
      <c r="A201" t="s">
        <v>2325</v>
      </c>
      <c r="B201" s="10">
        <v>1</v>
      </c>
    </row>
    <row r="202" spans="1:2" x14ac:dyDescent="0.3">
      <c r="A202" t="s">
        <v>1527</v>
      </c>
      <c r="B202" s="10">
        <v>1</v>
      </c>
    </row>
    <row r="203" spans="1:2" x14ac:dyDescent="0.3">
      <c r="A203" t="s">
        <v>4997</v>
      </c>
      <c r="B203" s="10">
        <v>1</v>
      </c>
    </row>
    <row r="204" spans="1:2" x14ac:dyDescent="0.3">
      <c r="A204" t="s">
        <v>5183</v>
      </c>
      <c r="B204" s="10">
        <v>1</v>
      </c>
    </row>
    <row r="205" spans="1:2" x14ac:dyDescent="0.3">
      <c r="A205" t="s">
        <v>2622</v>
      </c>
      <c r="B205" s="10">
        <v>1</v>
      </c>
    </row>
    <row r="206" spans="1:2" x14ac:dyDescent="0.3">
      <c r="A206" t="s">
        <v>981</v>
      </c>
      <c r="B206" s="10">
        <v>1</v>
      </c>
    </row>
    <row r="207" spans="1:2" x14ac:dyDescent="0.3">
      <c r="A207" t="s">
        <v>1039</v>
      </c>
      <c r="B207" s="10">
        <v>1</v>
      </c>
    </row>
    <row r="208" spans="1:2" x14ac:dyDescent="0.3">
      <c r="A208" t="s">
        <v>5473</v>
      </c>
      <c r="B208" s="10">
        <v>1</v>
      </c>
    </row>
    <row r="209" spans="1:2" x14ac:dyDescent="0.3">
      <c r="A209" t="s">
        <v>3873</v>
      </c>
      <c r="B209" s="10">
        <v>1</v>
      </c>
    </row>
    <row r="210" spans="1:2" x14ac:dyDescent="0.3">
      <c r="A210" t="s">
        <v>2483</v>
      </c>
      <c r="B210" s="10">
        <v>1</v>
      </c>
    </row>
    <row r="211" spans="1:2" x14ac:dyDescent="0.3">
      <c r="A211" t="s">
        <v>4843</v>
      </c>
      <c r="B211" s="10">
        <v>1</v>
      </c>
    </row>
    <row r="212" spans="1:2" x14ac:dyDescent="0.3">
      <c r="A212" t="s">
        <v>1846</v>
      </c>
      <c r="B212" s="10">
        <v>1</v>
      </c>
    </row>
    <row r="213" spans="1:2" x14ac:dyDescent="0.3">
      <c r="A213" t="s">
        <v>5990</v>
      </c>
      <c r="B213" s="10">
        <v>1</v>
      </c>
    </row>
    <row r="214" spans="1:2" x14ac:dyDescent="0.3">
      <c r="A214" t="s">
        <v>5440</v>
      </c>
      <c r="B214" s="10">
        <v>1</v>
      </c>
    </row>
    <row r="215" spans="1:2" x14ac:dyDescent="0.3">
      <c r="A215" t="s">
        <v>1790</v>
      </c>
      <c r="B215" s="10">
        <v>1</v>
      </c>
    </row>
    <row r="216" spans="1:2" x14ac:dyDescent="0.3">
      <c r="A216" t="s">
        <v>6071</v>
      </c>
      <c r="B216" s="10">
        <v>1</v>
      </c>
    </row>
    <row r="217" spans="1:2" x14ac:dyDescent="0.3">
      <c r="A217" t="s">
        <v>3757</v>
      </c>
      <c r="B217" s="10">
        <v>1</v>
      </c>
    </row>
    <row r="218" spans="1:2" x14ac:dyDescent="0.3">
      <c r="A218" t="s">
        <v>4320</v>
      </c>
      <c r="B218" s="10">
        <v>1</v>
      </c>
    </row>
    <row r="219" spans="1:2" x14ac:dyDescent="0.3">
      <c r="A219" t="s">
        <v>2505</v>
      </c>
      <c r="B219" s="10">
        <v>1</v>
      </c>
    </row>
    <row r="220" spans="1:2" x14ac:dyDescent="0.3">
      <c r="A220" t="s">
        <v>2695</v>
      </c>
      <c r="B220" s="10">
        <v>1</v>
      </c>
    </row>
    <row r="221" spans="1:2" x14ac:dyDescent="0.3">
      <c r="A221" t="s">
        <v>1493</v>
      </c>
      <c r="B221" s="10">
        <v>1</v>
      </c>
    </row>
    <row r="222" spans="1:2" x14ac:dyDescent="0.3">
      <c r="A222" t="s">
        <v>5764</v>
      </c>
      <c r="B222" s="10">
        <v>1</v>
      </c>
    </row>
    <row r="223" spans="1:2" x14ac:dyDescent="0.3">
      <c r="A223" t="s">
        <v>991</v>
      </c>
      <c r="B223" s="10">
        <v>1</v>
      </c>
    </row>
    <row r="224" spans="1:2" x14ac:dyDescent="0.3">
      <c r="A224" t="s">
        <v>3835</v>
      </c>
      <c r="B224" s="10">
        <v>1</v>
      </c>
    </row>
    <row r="225" spans="1:2" x14ac:dyDescent="0.3">
      <c r="A225" t="s">
        <v>2935</v>
      </c>
      <c r="B225" s="10">
        <v>1</v>
      </c>
    </row>
    <row r="226" spans="1:2" x14ac:dyDescent="0.3">
      <c r="A226" t="s">
        <v>5217</v>
      </c>
      <c r="B226" s="10">
        <v>1</v>
      </c>
    </row>
    <row r="227" spans="1:2" x14ac:dyDescent="0.3">
      <c r="A227" t="s">
        <v>1340</v>
      </c>
      <c r="B227" s="10">
        <v>1</v>
      </c>
    </row>
    <row r="228" spans="1:2" x14ac:dyDescent="0.3">
      <c r="A228" t="s">
        <v>5655</v>
      </c>
      <c r="B228" s="10">
        <v>1</v>
      </c>
    </row>
    <row r="229" spans="1:2" x14ac:dyDescent="0.3">
      <c r="A229" t="s">
        <v>5638</v>
      </c>
      <c r="B229" s="10">
        <v>1</v>
      </c>
    </row>
    <row r="230" spans="1:2" x14ac:dyDescent="0.3">
      <c r="A230" t="s">
        <v>1649</v>
      </c>
      <c r="B230" s="10">
        <v>1</v>
      </c>
    </row>
    <row r="231" spans="1:2" x14ac:dyDescent="0.3">
      <c r="A231" t="s">
        <v>1078</v>
      </c>
      <c r="B231" s="10">
        <v>1</v>
      </c>
    </row>
    <row r="232" spans="1:2" x14ac:dyDescent="0.3">
      <c r="A232" t="s">
        <v>1256</v>
      </c>
      <c r="B232" s="10">
        <v>1</v>
      </c>
    </row>
    <row r="233" spans="1:2" x14ac:dyDescent="0.3">
      <c r="A233" t="s">
        <v>3148</v>
      </c>
      <c r="B233" s="10">
        <v>1</v>
      </c>
    </row>
    <row r="234" spans="1:2" x14ac:dyDescent="0.3">
      <c r="A234" t="s">
        <v>5775</v>
      </c>
      <c r="B234" s="10">
        <v>1</v>
      </c>
    </row>
    <row r="235" spans="1:2" x14ac:dyDescent="0.3">
      <c r="A235" t="s">
        <v>3690</v>
      </c>
      <c r="B235" s="10">
        <v>1</v>
      </c>
    </row>
    <row r="236" spans="1:2" x14ac:dyDescent="0.3">
      <c r="A236" t="s">
        <v>1766</v>
      </c>
      <c r="B236" s="10">
        <v>1</v>
      </c>
    </row>
    <row r="237" spans="1:2" x14ac:dyDescent="0.3">
      <c r="A237" t="s">
        <v>3906</v>
      </c>
      <c r="B237" s="10">
        <v>1</v>
      </c>
    </row>
    <row r="238" spans="1:2" x14ac:dyDescent="0.3">
      <c r="A238" t="s">
        <v>767</v>
      </c>
      <c r="B238" s="10">
        <v>1</v>
      </c>
    </row>
    <row r="239" spans="1:2" x14ac:dyDescent="0.3">
      <c r="A239" t="s">
        <v>5514</v>
      </c>
      <c r="B239" s="10">
        <v>1</v>
      </c>
    </row>
    <row r="240" spans="1:2" x14ac:dyDescent="0.3">
      <c r="A240" t="s">
        <v>2835</v>
      </c>
      <c r="B240" s="10">
        <v>1</v>
      </c>
    </row>
    <row r="241" spans="1:2" x14ac:dyDescent="0.3">
      <c r="A241" t="s">
        <v>3855</v>
      </c>
      <c r="B241" s="10">
        <v>1</v>
      </c>
    </row>
    <row r="242" spans="1:2" x14ac:dyDescent="0.3">
      <c r="A242" t="s">
        <v>4212</v>
      </c>
      <c r="B242" s="10">
        <v>1</v>
      </c>
    </row>
    <row r="243" spans="1:2" x14ac:dyDescent="0.3">
      <c r="A243" t="s">
        <v>5532</v>
      </c>
      <c r="B243" s="10">
        <v>1</v>
      </c>
    </row>
    <row r="244" spans="1:2" x14ac:dyDescent="0.3">
      <c r="A244" t="s">
        <v>1654</v>
      </c>
      <c r="B244" s="10">
        <v>1</v>
      </c>
    </row>
    <row r="245" spans="1:2" x14ac:dyDescent="0.3">
      <c r="A245" t="s">
        <v>4434</v>
      </c>
      <c r="B245" s="10">
        <v>1</v>
      </c>
    </row>
    <row r="246" spans="1:2" x14ac:dyDescent="0.3">
      <c r="A246" t="s">
        <v>4024</v>
      </c>
      <c r="B246" s="10">
        <v>1</v>
      </c>
    </row>
    <row r="247" spans="1:2" x14ac:dyDescent="0.3">
      <c r="A247" t="s">
        <v>2471</v>
      </c>
      <c r="B247" s="10">
        <v>1</v>
      </c>
    </row>
    <row r="248" spans="1:2" x14ac:dyDescent="0.3">
      <c r="A248" t="s">
        <v>5644</v>
      </c>
      <c r="B248" s="10">
        <v>1</v>
      </c>
    </row>
    <row r="249" spans="1:2" x14ac:dyDescent="0.3">
      <c r="A249" t="s">
        <v>2364</v>
      </c>
      <c r="B249" s="10">
        <v>1</v>
      </c>
    </row>
    <row r="250" spans="1:2" x14ac:dyDescent="0.3">
      <c r="A250" t="s">
        <v>4406</v>
      </c>
      <c r="B250" s="10">
        <v>1</v>
      </c>
    </row>
    <row r="251" spans="1:2" x14ac:dyDescent="0.3">
      <c r="A251" t="s">
        <v>621</v>
      </c>
      <c r="B251" s="10">
        <v>1</v>
      </c>
    </row>
    <row r="252" spans="1:2" x14ac:dyDescent="0.3">
      <c r="A252" t="s">
        <v>5206</v>
      </c>
      <c r="B252" s="10">
        <v>1</v>
      </c>
    </row>
    <row r="253" spans="1:2" x14ac:dyDescent="0.3">
      <c r="A253" t="s">
        <v>6002</v>
      </c>
      <c r="B253" s="10">
        <v>1</v>
      </c>
    </row>
    <row r="254" spans="1:2" x14ac:dyDescent="0.3">
      <c r="A254" t="s">
        <v>4430</v>
      </c>
      <c r="B254" s="10">
        <v>1</v>
      </c>
    </row>
    <row r="255" spans="1:2" x14ac:dyDescent="0.3">
      <c r="A255" t="s">
        <v>5610</v>
      </c>
      <c r="B255" s="10">
        <v>1</v>
      </c>
    </row>
    <row r="256" spans="1:2" x14ac:dyDescent="0.3">
      <c r="A256" t="s">
        <v>4540</v>
      </c>
      <c r="B256" s="10">
        <v>1</v>
      </c>
    </row>
    <row r="257" spans="1:2" x14ac:dyDescent="0.3">
      <c r="A257" t="s">
        <v>4134</v>
      </c>
      <c r="B257" s="10">
        <v>1</v>
      </c>
    </row>
    <row r="258" spans="1:2" x14ac:dyDescent="0.3">
      <c r="A258" t="s">
        <v>1720</v>
      </c>
      <c r="B258" s="10">
        <v>1</v>
      </c>
    </row>
    <row r="259" spans="1:2" x14ac:dyDescent="0.3">
      <c r="A259" t="s">
        <v>4950</v>
      </c>
      <c r="B259" s="10">
        <v>1</v>
      </c>
    </row>
    <row r="260" spans="1:2" x14ac:dyDescent="0.3">
      <c r="A260" t="s">
        <v>2465</v>
      </c>
      <c r="B260" s="10">
        <v>1</v>
      </c>
    </row>
    <row r="261" spans="1:2" x14ac:dyDescent="0.3">
      <c r="A261" t="s">
        <v>582</v>
      </c>
      <c r="B261" s="10">
        <v>1</v>
      </c>
    </row>
    <row r="909" spans="5:5" x14ac:dyDescent="0.3">
      <c r="E909">
        <f>SUM(B:B)</f>
        <v>258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8928C-1B30-4B98-801E-739C2C4F6302}">
  <dimension ref="A3:B6"/>
  <sheetViews>
    <sheetView workbookViewId="0">
      <selection activeCell="Q3" sqref="Q3"/>
    </sheetView>
  </sheetViews>
  <sheetFormatPr defaultRowHeight="14.4" x14ac:dyDescent="0.3"/>
  <cols>
    <col min="1" max="1" width="14" bestFit="1" customWidth="1"/>
    <col min="2" max="2" width="11.6640625" bestFit="1" customWidth="1"/>
    <col min="3" max="3" width="6.6640625" bestFit="1" customWidth="1"/>
    <col min="4" max="4" width="7" bestFit="1" customWidth="1"/>
    <col min="5" max="6" width="6.6640625" bestFit="1" customWidth="1"/>
    <col min="7" max="7" width="7" bestFit="1" customWidth="1"/>
    <col min="8" max="15" width="6.6640625" bestFit="1" customWidth="1"/>
    <col min="16" max="17" width="7" bestFit="1" customWidth="1"/>
    <col min="18" max="21" width="6.6640625" bestFit="1" customWidth="1"/>
    <col min="22" max="22" width="7" bestFit="1" customWidth="1"/>
    <col min="23" max="24" width="6.6640625" bestFit="1" customWidth="1"/>
    <col min="25" max="89" width="7.6640625" bestFit="1" customWidth="1"/>
    <col min="90" max="90" width="8" bestFit="1" customWidth="1"/>
    <col min="91" max="148" width="7.6640625" bestFit="1" customWidth="1"/>
    <col min="149" max="149" width="8" bestFit="1" customWidth="1"/>
    <col min="150" max="155" width="7.6640625" bestFit="1" customWidth="1"/>
    <col min="156" max="156" width="8" bestFit="1" customWidth="1"/>
    <col min="157" max="164" width="7.6640625" bestFit="1" customWidth="1"/>
    <col min="165" max="165" width="8" bestFit="1" customWidth="1"/>
    <col min="166" max="168" width="7.6640625" bestFit="1" customWidth="1"/>
    <col min="169" max="175" width="8.6640625" bestFit="1" customWidth="1"/>
    <col min="176" max="176" width="9" bestFit="1" customWidth="1"/>
    <col min="177" max="186" width="8.6640625" bestFit="1" customWidth="1"/>
    <col min="187" max="187" width="9" bestFit="1" customWidth="1"/>
    <col min="188" max="198" width="8.6640625" bestFit="1" customWidth="1"/>
  </cols>
  <sheetData>
    <row r="3" spans="1:2" x14ac:dyDescent="0.3">
      <c r="A3" s="6" t="s">
        <v>7</v>
      </c>
      <c r="B3" t="s">
        <v>6216</v>
      </c>
    </row>
    <row r="4" spans="1:2" x14ac:dyDescent="0.3">
      <c r="A4" t="s">
        <v>28</v>
      </c>
      <c r="B4" s="8">
        <v>267.17999999999995</v>
      </c>
    </row>
    <row r="5" spans="1:2" x14ac:dyDescent="0.3">
      <c r="A5" t="s">
        <v>318</v>
      </c>
      <c r="B5" s="8">
        <v>1360.3049999999998</v>
      </c>
    </row>
    <row r="6" spans="1:2" x14ac:dyDescent="0.3">
      <c r="A6" t="s">
        <v>19</v>
      </c>
      <c r="B6" s="8">
        <v>10141.01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59883-2EB0-4CD7-AF1F-B36F56950E1C}">
  <dimension ref="A3:B8"/>
  <sheetViews>
    <sheetView workbookViewId="0">
      <selection activeCell="K2" sqref="K2"/>
    </sheetView>
  </sheetViews>
  <sheetFormatPr defaultRowHeight="14.4" x14ac:dyDescent="0.3"/>
  <cols>
    <col min="1" max="1" width="16.88671875" bestFit="1" customWidth="1"/>
    <col min="2" max="2" width="11.6640625" bestFit="1" customWidth="1"/>
    <col min="3" max="3" width="6.6640625" bestFit="1" customWidth="1"/>
    <col min="4" max="4" width="7" bestFit="1" customWidth="1"/>
    <col min="5" max="6" width="6.6640625" bestFit="1" customWidth="1"/>
    <col min="7" max="7" width="7" bestFit="1" customWidth="1"/>
    <col min="8" max="15" width="6.6640625" bestFit="1" customWidth="1"/>
    <col min="16" max="17" width="7" bestFit="1" customWidth="1"/>
    <col min="18" max="21" width="6.6640625" bestFit="1" customWidth="1"/>
    <col min="22" max="22" width="7" bestFit="1" customWidth="1"/>
    <col min="23" max="24" width="6.6640625" bestFit="1" customWidth="1"/>
    <col min="25" max="89" width="7.6640625" bestFit="1" customWidth="1"/>
    <col min="90" max="90" width="8" bestFit="1" customWidth="1"/>
    <col min="91" max="148" width="7.6640625" bestFit="1" customWidth="1"/>
    <col min="149" max="149" width="8" bestFit="1" customWidth="1"/>
    <col min="150" max="155" width="7.6640625" bestFit="1" customWidth="1"/>
    <col min="156" max="156" width="8" bestFit="1" customWidth="1"/>
    <col min="157" max="164" width="7.6640625" bestFit="1" customWidth="1"/>
    <col min="165" max="165" width="8" bestFit="1" customWidth="1"/>
    <col min="166" max="168" width="7.6640625" bestFit="1" customWidth="1"/>
    <col min="169" max="175" width="8.6640625" bestFit="1" customWidth="1"/>
    <col min="176" max="176" width="9" bestFit="1" customWidth="1"/>
    <col min="177" max="186" width="8.6640625" bestFit="1" customWidth="1"/>
    <col min="187" max="187" width="9" bestFit="1" customWidth="1"/>
    <col min="188" max="198" width="8.6640625" bestFit="1" customWidth="1"/>
  </cols>
  <sheetData>
    <row r="3" spans="1:2" x14ac:dyDescent="0.3">
      <c r="A3" s="6" t="s">
        <v>4</v>
      </c>
      <c r="B3" t="s">
        <v>6216</v>
      </c>
    </row>
    <row r="4" spans="1:2" x14ac:dyDescent="0.3">
      <c r="A4" t="s">
        <v>4321</v>
      </c>
      <c r="B4" s="9">
        <v>178.70999999999998</v>
      </c>
    </row>
    <row r="5" spans="1:2" x14ac:dyDescent="0.3">
      <c r="A5" t="s">
        <v>4810</v>
      </c>
      <c r="B5" s="9">
        <v>178.70999999999998</v>
      </c>
    </row>
    <row r="6" spans="1:2" x14ac:dyDescent="0.3">
      <c r="A6" t="s">
        <v>5347</v>
      </c>
      <c r="B6" s="9">
        <v>178.70999999999998</v>
      </c>
    </row>
    <row r="7" spans="1:2" x14ac:dyDescent="0.3">
      <c r="A7" t="s">
        <v>4299</v>
      </c>
      <c r="B7" s="9">
        <v>178.70999999999998</v>
      </c>
    </row>
    <row r="8" spans="1:2" x14ac:dyDescent="0.3">
      <c r="A8" t="s">
        <v>2587</v>
      </c>
      <c r="B8" s="9">
        <v>215.01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pane ySplit="1" topLeftCell="A11" activePane="bottomLeft" state="frozen"/>
      <selection pane="bottomLeft" activeCell="I18" sqref="I18"/>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 "Excelsa",IF(I2="Ara","Arabica",IF(I2="Lib","Liberica",""))))</f>
        <v>Robusta</v>
      </c>
      <c r="O2" t="str">
        <f>IF(J2="M","Medium",IF(J2="L","Light",IF(J2="D","Dark","")))</f>
        <v>Medium</v>
      </c>
      <c r="P2" t="str">
        <f>_xlfn.XLOOKUP(Orders_Table[[#This Row],[Customer ID]],customers!$A$2:$A$1001,customers!$I$2:$I$1001,"",0)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 "Excelsa",IF(I3="Ara","Arabica",IF(I3="Lib","Liberica",""))))</f>
        <v>Excelsa</v>
      </c>
      <c r="O3" t="str">
        <f t="shared" ref="O3:O66" si="2">IF(J3="M","Medium",IF(J3="L","Light",IF(J3="D","Dark","")))</f>
        <v>Medium</v>
      </c>
      <c r="P3" t="str">
        <f>_xlfn.XLOOKUP(Orders_Table[[#This Row],[Customer ID]],customers!$A$2:$A$1001,customers!$I$2:$I$1001,"",0)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_xlfn.XLOOKUP(Orders_Table[[#This Row],[Customer ID]],customers!$A$2:$A$1001,customers!$I$2:$I$1001,"",0)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_xlfn.XLOOKUP(Orders_Table[[#This Row],[Customer ID]],customers!$A$2:$A$1001,customers!$I$2:$I$1001,"",0)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_xlfn.XLOOKUP(Orders_Table[[#This Row],[Customer ID]],customers!$A$2:$A$1001,customers!$I$2:$I$1001,"",0)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_xlfn.XLOOKUP(Orders_Table[[#This Row],[Customer ID]],customers!$A$2:$A$1001,customers!$I$2:$I$1001,"",0)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_xlfn.XLOOKUP(Orders_Table[[#This Row],[Customer ID]],customers!$A$2:$A$1001,customers!$I$2:$I$1001,"",0)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_xlfn.XLOOKUP(Orders_Table[[#This Row],[Customer ID]],customers!$A$2:$A$1001,customers!$I$2:$I$1001,"",0)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_xlfn.XLOOKUP(Orders_Table[[#This Row],[Customer ID]],customers!$A$2:$A$1001,customers!$I$2:$I$1001,"",0)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_xlfn.XLOOKUP(Orders_Table[[#This Row],[Customer ID]],customers!$A$2:$A$1001,customers!$I$2:$I$1001,"",0)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_xlfn.XLOOKUP(Orders_Table[[#This Row],[Customer ID]],customers!$A$2:$A$1001,customers!$I$2:$I$1001,"",0)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_xlfn.XLOOKUP(Orders_Table[[#This Row],[Customer ID]],customers!$A$2:$A$1001,customers!$I$2:$I$1001,"",0)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_xlfn.XLOOKUP(Orders_Table[[#This Row],[Customer ID]],customers!$A$2:$A$1001,customers!$I$2:$I$1001,"",0)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_xlfn.XLOOKUP(Orders_Table[[#This Row],[Customer ID]],customers!$A$2:$A$1001,customers!$I$2:$I$1001,"",0)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_xlfn.XLOOKUP(Orders_Table[[#This Row],[Customer ID]],customers!$A$2:$A$1001,customers!$I$2:$I$1001,"",0)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_xlfn.XLOOKUP(Orders_Table[[#This Row],[Customer ID]],customers!$A$2:$A$1001,customers!$I$2:$I$1001,"",0)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_xlfn.XLOOKUP(Orders_Table[[#This Row],[Customer ID]],customers!$A$2:$A$1001,customers!$I$2:$I$1001,"",0)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_xlfn.XLOOKUP(Orders_Table[[#This Row],[Customer ID]],customers!$A$2:$A$1001,customers!$I$2:$I$1001,"",0)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_xlfn.XLOOKUP(Orders_Table[[#This Row],[Customer ID]],customers!$A$2:$A$1001,customers!$I$2:$I$1001,"",0)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_xlfn.XLOOKUP(Orders_Table[[#This Row],[Customer ID]],customers!$A$2:$A$1001,customers!$I$2:$I$1001,"",0)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_xlfn.XLOOKUP(Orders_Table[[#This Row],[Customer ID]],customers!$A$2:$A$1001,customers!$I$2:$I$1001,"",0)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_xlfn.XLOOKUP(Orders_Table[[#This Row],[Customer ID]],customers!$A$2:$A$1001,customers!$I$2:$I$1001,"",0)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_xlfn.XLOOKUP(Orders_Table[[#This Row],[Customer ID]],customers!$A$2:$A$1001,customers!$I$2:$I$1001,"",0)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_xlfn.XLOOKUP(Orders_Table[[#This Row],[Customer ID]],customers!$A$2:$A$1001,customers!$I$2:$I$1001,"",0)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_xlfn.XLOOKUP(Orders_Table[[#This Row],[Customer ID]],customers!$A$2:$A$1001,customers!$I$2:$I$1001,"",0)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_xlfn.XLOOKUP(Orders_Table[[#This Row],[Customer ID]],customers!$A$2:$A$1001,customers!$I$2:$I$1001,"",0)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_xlfn.XLOOKUP(Orders_Table[[#This Row],[Customer ID]],customers!$A$2:$A$1001,customers!$I$2:$I$1001,"",0)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_xlfn.XLOOKUP(Orders_Table[[#This Row],[Customer ID]],customers!$A$2:$A$1001,customers!$I$2:$I$1001,"",0)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_xlfn.XLOOKUP(Orders_Table[[#This Row],[Customer ID]],customers!$A$2:$A$1001,customers!$I$2:$I$1001,"",0)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_xlfn.XLOOKUP(Orders_Table[[#This Row],[Customer ID]],customers!$A$2:$A$1001,customers!$I$2:$I$1001,"",0)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_xlfn.XLOOKUP(Orders_Table[[#This Row],[Customer ID]],customers!$A$2:$A$1001,customers!$I$2:$I$1001,"",0)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_xlfn.XLOOKUP(Orders_Table[[#This Row],[Customer ID]],customers!$A$2:$A$1001,customers!$I$2:$I$1001,"",0)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_xlfn.XLOOKUP(Orders_Table[[#This Row],[Customer ID]],customers!$A$2:$A$1001,customers!$I$2:$I$1001,"",0)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_xlfn.XLOOKUP(Orders_Table[[#This Row],[Customer ID]],customers!$A$2:$A$1001,customers!$I$2:$I$1001,"",0)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_xlfn.XLOOKUP(Orders_Table[[#This Row],[Customer ID]],customers!$A$2:$A$1001,customers!$I$2:$I$1001,"",0)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_xlfn.XLOOKUP(Orders_Table[[#This Row],[Customer ID]],customers!$A$2:$A$1001,customers!$I$2:$I$1001,"",0)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_xlfn.XLOOKUP(Orders_Table[[#This Row],[Customer ID]],customers!$A$2:$A$1001,customers!$I$2:$I$1001,"",0)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_xlfn.XLOOKUP(Orders_Table[[#This Row],[Customer ID]],customers!$A$2:$A$1001,customers!$I$2:$I$1001,"",0)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_xlfn.XLOOKUP(Orders_Table[[#This Row],[Customer ID]],customers!$A$2:$A$1001,customers!$I$2:$I$1001,"",0)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_xlfn.XLOOKUP(Orders_Table[[#This Row],[Customer ID]],customers!$A$2:$A$1001,customers!$I$2:$I$1001,"",0)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_xlfn.XLOOKUP(Orders_Table[[#This Row],[Customer ID]],customers!$A$2:$A$1001,customers!$I$2:$I$1001,"",0)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_xlfn.XLOOKUP(Orders_Table[[#This Row],[Customer ID]],customers!$A$2:$A$1001,customers!$I$2:$I$1001,"",0)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_xlfn.XLOOKUP(Orders_Table[[#This Row],[Customer ID]],customers!$A$2:$A$1001,customers!$I$2:$I$1001,"",0)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_xlfn.XLOOKUP(Orders_Table[[#This Row],[Customer ID]],customers!$A$2:$A$1001,customers!$I$2:$I$1001,"",0)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_xlfn.XLOOKUP(Orders_Table[[#This Row],[Customer ID]],customers!$A$2:$A$1001,customers!$I$2:$I$1001,"",0)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_xlfn.XLOOKUP(Orders_Table[[#This Row],[Customer ID]],customers!$A$2:$A$1001,customers!$I$2:$I$1001,"",0)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_xlfn.XLOOKUP(Orders_Table[[#This Row],[Customer ID]],customers!$A$2:$A$1001,customers!$I$2:$I$1001,"",0)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_xlfn.XLOOKUP(Orders_Table[[#This Row],[Customer ID]],customers!$A$2:$A$1001,customers!$I$2:$I$1001,"",0)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_xlfn.XLOOKUP(Orders_Table[[#This Row],[Customer ID]],customers!$A$2:$A$1001,customers!$I$2:$I$1001,"",0)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_xlfn.XLOOKUP(Orders_Table[[#This Row],[Customer ID]],customers!$A$2:$A$1001,customers!$I$2:$I$1001,"",0)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_xlfn.XLOOKUP(Orders_Table[[#This Row],[Customer ID]],customers!$A$2:$A$1001,customers!$I$2:$I$1001,"",0)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_xlfn.XLOOKUP(Orders_Table[[#This Row],[Customer ID]],customers!$A$2:$A$1001,customers!$I$2:$I$1001,"",0)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_xlfn.XLOOKUP(Orders_Table[[#This Row],[Customer ID]],customers!$A$2:$A$1001,customers!$I$2:$I$1001,"",0)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_xlfn.XLOOKUP(Orders_Table[[#This Row],[Customer ID]],customers!$A$2:$A$1001,customers!$I$2:$I$1001,"",0)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_xlfn.XLOOKUP(Orders_Table[[#This Row],[Customer ID]],customers!$A$2:$A$1001,customers!$I$2:$I$1001,"",0)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_xlfn.XLOOKUP(Orders_Table[[#This Row],[Customer ID]],customers!$A$2:$A$1001,customers!$I$2:$I$1001,"",0)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_xlfn.XLOOKUP(Orders_Table[[#This Row],[Customer ID]],customers!$A$2:$A$1001,customers!$I$2:$I$1001,"",0)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_xlfn.XLOOKUP(Orders_Table[[#This Row],[Customer ID]],customers!$A$2:$A$1001,customers!$I$2:$I$1001,"",0)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_xlfn.XLOOKUP(Orders_Table[[#This Row],[Customer ID]],customers!$A$2:$A$1001,customers!$I$2:$I$1001,"",0)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_xlfn.XLOOKUP(Orders_Table[[#This Row],[Customer ID]],customers!$A$2:$A$1001,customers!$I$2:$I$1001,"",0)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_xlfn.XLOOKUP(Orders_Table[[#This Row],[Customer ID]],customers!$A$2:$A$1001,customers!$I$2:$I$1001,"",0)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_xlfn.XLOOKUP(Orders_Table[[#This Row],[Customer ID]],customers!$A$2:$A$1001,customers!$I$2:$I$1001,"",0)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_xlfn.XLOOKUP(Orders_Table[[#This Row],[Customer ID]],customers!$A$2:$A$1001,customers!$I$2:$I$1001,"",0)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_xlfn.XLOOKUP(Orders_Table[[#This Row],[Customer ID]],customers!$A$2:$A$1001,customers!$I$2:$I$1001,"",0)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_xlfn.XLOOKUP(Orders_Table[[#This Row],[Customer ID]],customers!$A$2:$A$1001,customers!$I$2:$I$1001,"",0)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 "Excelsa",IF(I67="Ara","Arabica",IF(I67="Lib","Liberica",""))))</f>
        <v>Robusta</v>
      </c>
      <c r="O67" t="str">
        <f t="shared" ref="O67:O130" si="5">IF(J67="M","Medium",IF(J67="L","Light",IF(J67="D","Dark","")))</f>
        <v>Dark</v>
      </c>
      <c r="P67" t="str">
        <f>_xlfn.XLOOKUP(Orders_Table[[#This Row],[Customer ID]],customers!$A$2:$A$1001,customers!$I$2:$I$1001,"",0)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_xlfn.XLOOKUP(Orders_Table[[#This Row],[Customer ID]],customers!$A$2:$A$1001,customers!$I$2:$I$1001,"",0)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_xlfn.XLOOKUP(Orders_Table[[#This Row],[Customer ID]],customers!$A$2:$A$1001,customers!$I$2:$I$1001,"",0)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_xlfn.XLOOKUP(Orders_Table[[#This Row],[Customer ID]],customers!$A$2:$A$1001,customers!$I$2:$I$1001,"",0)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_xlfn.XLOOKUP(Orders_Table[[#This Row],[Customer ID]],customers!$A$2:$A$1001,customers!$I$2:$I$1001,"",0)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_xlfn.XLOOKUP(Orders_Table[[#This Row],[Customer ID]],customers!$A$2:$A$1001,customers!$I$2:$I$1001,"",0)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_xlfn.XLOOKUP(Orders_Table[[#This Row],[Customer ID]],customers!$A$2:$A$1001,customers!$I$2:$I$1001,"",0)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_xlfn.XLOOKUP(Orders_Table[[#This Row],[Customer ID]],customers!$A$2:$A$1001,customers!$I$2:$I$1001,"",0)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_xlfn.XLOOKUP(Orders_Table[[#This Row],[Customer ID]],customers!$A$2:$A$1001,customers!$I$2:$I$1001,"",0)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_xlfn.XLOOKUP(Orders_Table[[#This Row],[Customer ID]],customers!$A$2:$A$1001,customers!$I$2:$I$1001,"",0)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_xlfn.XLOOKUP(Orders_Table[[#This Row],[Customer ID]],customers!$A$2:$A$1001,customers!$I$2:$I$1001,"",0)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_xlfn.XLOOKUP(Orders_Table[[#This Row],[Customer ID]],customers!$A$2:$A$1001,customers!$I$2:$I$1001,"",0)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_xlfn.XLOOKUP(Orders_Table[[#This Row],[Customer ID]],customers!$A$2:$A$1001,customers!$I$2:$I$1001,"",0)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_xlfn.XLOOKUP(Orders_Table[[#This Row],[Customer ID]],customers!$A$2:$A$1001,customers!$I$2:$I$1001,"",0)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_xlfn.XLOOKUP(Orders_Table[[#This Row],[Customer ID]],customers!$A$2:$A$1001,customers!$I$2:$I$1001,"",0)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_xlfn.XLOOKUP(Orders_Table[[#This Row],[Customer ID]],customers!$A$2:$A$1001,customers!$I$2:$I$1001,"",0)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_xlfn.XLOOKUP(Orders_Table[[#This Row],[Customer ID]],customers!$A$2:$A$1001,customers!$I$2:$I$1001,"",0)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_xlfn.XLOOKUP(Orders_Table[[#This Row],[Customer ID]],customers!$A$2:$A$1001,customers!$I$2:$I$1001,"",0)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_xlfn.XLOOKUP(Orders_Table[[#This Row],[Customer ID]],customers!$A$2:$A$1001,customers!$I$2:$I$1001,"",0)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_xlfn.XLOOKUP(Orders_Table[[#This Row],[Customer ID]],customers!$A$2:$A$1001,customers!$I$2:$I$1001,"",0)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_xlfn.XLOOKUP(Orders_Table[[#This Row],[Customer ID]],customers!$A$2:$A$1001,customers!$I$2:$I$1001,"",0)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_xlfn.XLOOKUP(Orders_Table[[#This Row],[Customer ID]],customers!$A$2:$A$1001,customers!$I$2:$I$1001,"",0)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_xlfn.XLOOKUP(Orders_Table[[#This Row],[Customer ID]],customers!$A$2:$A$1001,customers!$I$2:$I$1001,"",0)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_xlfn.XLOOKUP(Orders_Table[[#This Row],[Customer ID]],customers!$A$2:$A$1001,customers!$I$2:$I$1001,"",0)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_xlfn.XLOOKUP(Orders_Table[[#This Row],[Customer ID]],customers!$A$2:$A$1001,customers!$I$2:$I$1001,"",0)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_xlfn.XLOOKUP(Orders_Table[[#This Row],[Customer ID]],customers!$A$2:$A$1001,customers!$I$2:$I$1001,"",0)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_xlfn.XLOOKUP(Orders_Table[[#This Row],[Customer ID]],customers!$A$2:$A$1001,customers!$I$2:$I$1001,"",0)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_xlfn.XLOOKUP(Orders_Table[[#This Row],[Customer ID]],customers!$A$2:$A$1001,customers!$I$2:$I$1001,"",0)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_xlfn.XLOOKUP(Orders_Table[[#This Row],[Customer ID]],customers!$A$2:$A$1001,customers!$I$2:$I$1001,"",0)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_xlfn.XLOOKUP(Orders_Table[[#This Row],[Customer ID]],customers!$A$2:$A$1001,customers!$I$2:$I$1001,"",0)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_xlfn.XLOOKUP(Orders_Table[[#This Row],[Customer ID]],customers!$A$2:$A$1001,customers!$I$2:$I$1001,"",0)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_xlfn.XLOOKUP(Orders_Table[[#This Row],[Customer ID]],customers!$A$2:$A$1001,customers!$I$2:$I$1001,"",0)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_xlfn.XLOOKUP(Orders_Table[[#This Row],[Customer ID]],customers!$A$2:$A$1001,customers!$I$2:$I$1001,"",0)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_xlfn.XLOOKUP(Orders_Table[[#This Row],[Customer ID]],customers!$A$2:$A$1001,customers!$I$2:$I$1001,"",0)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_xlfn.XLOOKUP(Orders_Table[[#This Row],[Customer ID]],customers!$A$2:$A$1001,customers!$I$2:$I$1001,"",0)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_xlfn.XLOOKUP(Orders_Table[[#This Row],[Customer ID]],customers!$A$2:$A$1001,customers!$I$2:$I$1001,"",0)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_xlfn.XLOOKUP(Orders_Table[[#This Row],[Customer ID]],customers!$A$2:$A$1001,customers!$I$2:$I$1001,"",0)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_xlfn.XLOOKUP(Orders_Table[[#This Row],[Customer ID]],customers!$A$2:$A$1001,customers!$I$2:$I$1001,"",0)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_xlfn.XLOOKUP(Orders_Table[[#This Row],[Customer ID]],customers!$A$2:$A$1001,customers!$I$2:$I$1001,"",0)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_xlfn.XLOOKUP(Orders_Table[[#This Row],[Customer ID]],customers!$A$2:$A$1001,customers!$I$2:$I$1001,"",0)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_xlfn.XLOOKUP(Orders_Table[[#This Row],[Customer ID]],customers!$A$2:$A$1001,customers!$I$2:$I$1001,"",0)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_xlfn.XLOOKUP(Orders_Table[[#This Row],[Customer ID]],customers!$A$2:$A$1001,customers!$I$2:$I$1001,"",0)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_xlfn.XLOOKUP(Orders_Table[[#This Row],[Customer ID]],customers!$A$2:$A$1001,customers!$I$2:$I$1001,"",0)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_xlfn.XLOOKUP(Orders_Table[[#This Row],[Customer ID]],customers!$A$2:$A$1001,customers!$I$2:$I$1001,"",0)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_xlfn.XLOOKUP(Orders_Table[[#This Row],[Customer ID]],customers!$A$2:$A$1001,customers!$I$2:$I$1001,"",0)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_xlfn.XLOOKUP(Orders_Table[[#This Row],[Customer ID]],customers!$A$2:$A$1001,customers!$I$2:$I$1001,"",0)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_xlfn.XLOOKUP(Orders_Table[[#This Row],[Customer ID]],customers!$A$2:$A$1001,customers!$I$2:$I$1001,"",0)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_xlfn.XLOOKUP(Orders_Table[[#This Row],[Customer ID]],customers!$A$2:$A$1001,customers!$I$2:$I$1001,"",0)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_xlfn.XLOOKUP(Orders_Table[[#This Row],[Customer ID]],customers!$A$2:$A$1001,customers!$I$2:$I$1001,"",0)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_xlfn.XLOOKUP(Orders_Table[[#This Row],[Customer ID]],customers!$A$2:$A$1001,customers!$I$2:$I$1001,"",0)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_xlfn.XLOOKUP(Orders_Table[[#This Row],[Customer ID]],customers!$A$2:$A$1001,customers!$I$2:$I$1001,"",0)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_xlfn.XLOOKUP(Orders_Table[[#This Row],[Customer ID]],customers!$A$2:$A$1001,customers!$I$2:$I$1001,"",0)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_xlfn.XLOOKUP(Orders_Table[[#This Row],[Customer ID]],customers!$A$2:$A$1001,customers!$I$2:$I$1001,"",0)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_xlfn.XLOOKUP(Orders_Table[[#This Row],[Customer ID]],customers!$A$2:$A$1001,customers!$I$2:$I$1001,"",0)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_xlfn.XLOOKUP(Orders_Table[[#This Row],[Customer ID]],customers!$A$2:$A$1001,customers!$I$2:$I$1001,"",0)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_xlfn.XLOOKUP(Orders_Table[[#This Row],[Customer ID]],customers!$A$2:$A$1001,customers!$I$2:$I$1001,"",0)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_xlfn.XLOOKUP(Orders_Table[[#This Row],[Customer ID]],customers!$A$2:$A$1001,customers!$I$2:$I$1001,"",0)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_xlfn.XLOOKUP(Orders_Table[[#This Row],[Customer ID]],customers!$A$2:$A$1001,customers!$I$2:$I$1001,"",0)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_xlfn.XLOOKUP(Orders_Table[[#This Row],[Customer ID]],customers!$A$2:$A$1001,customers!$I$2:$I$1001,"",0)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_xlfn.XLOOKUP(Orders_Table[[#This Row],[Customer ID]],customers!$A$2:$A$1001,customers!$I$2:$I$1001,"",0)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_xlfn.XLOOKUP(Orders_Table[[#This Row],[Customer ID]],customers!$A$2:$A$1001,customers!$I$2:$I$1001,"",0)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_xlfn.XLOOKUP(Orders_Table[[#This Row],[Customer ID]],customers!$A$2:$A$1001,customers!$I$2:$I$1001,"",0)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_xlfn.XLOOKUP(Orders_Table[[#This Row],[Customer ID]],customers!$A$2:$A$1001,customers!$I$2:$I$1001,"",0)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_xlfn.XLOOKUP(Orders_Table[[#This Row],[Customer ID]],customers!$A$2:$A$1001,customers!$I$2:$I$1001,"",0)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 "Excelsa",IF(I131="Ara","Arabica",IF(I131="Lib","Liberica",""))))</f>
        <v>Excelsa</v>
      </c>
      <c r="O131" t="str">
        <f t="shared" ref="O131:O194" si="8">IF(J131="M","Medium",IF(J131="L","Light",IF(J131="D","Dark","")))</f>
        <v>Dark</v>
      </c>
      <c r="P131" t="str">
        <f>_xlfn.XLOOKUP(Orders_Table[[#This Row],[Customer ID]],customers!$A$2:$A$1001,customers!$I$2:$I$1001,"",0)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_xlfn.XLOOKUP(Orders_Table[[#This Row],[Customer ID]],customers!$A$2:$A$1001,customers!$I$2:$I$1001,"",0)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_xlfn.XLOOKUP(Orders_Table[[#This Row],[Customer ID]],customers!$A$2:$A$1001,customers!$I$2:$I$1001,"",0)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_xlfn.XLOOKUP(Orders_Table[[#This Row],[Customer ID]],customers!$A$2:$A$1001,customers!$I$2:$I$1001,"",0)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_xlfn.XLOOKUP(Orders_Table[[#This Row],[Customer ID]],customers!$A$2:$A$1001,customers!$I$2:$I$1001,"",0)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_xlfn.XLOOKUP(Orders_Table[[#This Row],[Customer ID]],customers!$A$2:$A$1001,customers!$I$2:$I$1001,"",0)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_xlfn.XLOOKUP(Orders_Table[[#This Row],[Customer ID]],customers!$A$2:$A$1001,customers!$I$2:$I$1001,"",0)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_xlfn.XLOOKUP(Orders_Table[[#This Row],[Customer ID]],customers!$A$2:$A$1001,customers!$I$2:$I$1001,"",0)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_xlfn.XLOOKUP(Orders_Table[[#This Row],[Customer ID]],customers!$A$2:$A$1001,customers!$I$2:$I$1001,"",0)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_xlfn.XLOOKUP(Orders_Table[[#This Row],[Customer ID]],customers!$A$2:$A$1001,customers!$I$2:$I$1001,"",0)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_xlfn.XLOOKUP(Orders_Table[[#This Row],[Customer ID]],customers!$A$2:$A$1001,customers!$I$2:$I$1001,"",0)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_xlfn.XLOOKUP(Orders_Table[[#This Row],[Customer ID]],customers!$A$2:$A$1001,customers!$I$2:$I$1001,"",0)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_xlfn.XLOOKUP(Orders_Table[[#This Row],[Customer ID]],customers!$A$2:$A$1001,customers!$I$2:$I$1001,"",0)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_xlfn.XLOOKUP(Orders_Table[[#This Row],[Customer ID]],customers!$A$2:$A$1001,customers!$I$2:$I$1001,"",0)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_xlfn.XLOOKUP(Orders_Table[[#This Row],[Customer ID]],customers!$A$2:$A$1001,customers!$I$2:$I$1001,"",0)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_xlfn.XLOOKUP(Orders_Table[[#This Row],[Customer ID]],customers!$A$2:$A$1001,customers!$I$2:$I$1001,"",0)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_xlfn.XLOOKUP(Orders_Table[[#This Row],[Customer ID]],customers!$A$2:$A$1001,customers!$I$2:$I$1001,"",0)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_xlfn.XLOOKUP(Orders_Table[[#This Row],[Customer ID]],customers!$A$2:$A$1001,customers!$I$2:$I$1001,"",0)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_xlfn.XLOOKUP(Orders_Table[[#This Row],[Customer ID]],customers!$A$2:$A$1001,customers!$I$2:$I$1001,"",0)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_xlfn.XLOOKUP(Orders_Table[[#This Row],[Customer ID]],customers!$A$2:$A$1001,customers!$I$2:$I$1001,"",0)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_xlfn.XLOOKUP(Orders_Table[[#This Row],[Customer ID]],customers!$A$2:$A$1001,customers!$I$2:$I$1001,"",0)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_xlfn.XLOOKUP(Orders_Table[[#This Row],[Customer ID]],customers!$A$2:$A$1001,customers!$I$2:$I$1001,"",0)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_xlfn.XLOOKUP(Orders_Table[[#This Row],[Customer ID]],customers!$A$2:$A$1001,customers!$I$2:$I$1001,"",0)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_xlfn.XLOOKUP(Orders_Table[[#This Row],[Customer ID]],customers!$A$2:$A$1001,customers!$I$2:$I$1001,"",0)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_xlfn.XLOOKUP(Orders_Table[[#This Row],[Customer ID]],customers!$A$2:$A$1001,customers!$I$2:$I$1001,"",0)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_xlfn.XLOOKUP(Orders_Table[[#This Row],[Customer ID]],customers!$A$2:$A$1001,customers!$I$2:$I$1001,"",0)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_xlfn.XLOOKUP(Orders_Table[[#This Row],[Customer ID]],customers!$A$2:$A$1001,customers!$I$2:$I$1001,"",0)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_xlfn.XLOOKUP(Orders_Table[[#This Row],[Customer ID]],customers!$A$2:$A$1001,customers!$I$2:$I$1001,"",0)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_xlfn.XLOOKUP(Orders_Table[[#This Row],[Customer ID]],customers!$A$2:$A$1001,customers!$I$2:$I$1001,"",0)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_xlfn.XLOOKUP(Orders_Table[[#This Row],[Customer ID]],customers!$A$2:$A$1001,customers!$I$2:$I$1001,"",0)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_xlfn.XLOOKUP(Orders_Table[[#This Row],[Customer ID]],customers!$A$2:$A$1001,customers!$I$2:$I$1001,"",0)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_xlfn.XLOOKUP(Orders_Table[[#This Row],[Customer ID]],customers!$A$2:$A$1001,customers!$I$2:$I$1001,"",0)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_xlfn.XLOOKUP(Orders_Table[[#This Row],[Customer ID]],customers!$A$2:$A$1001,customers!$I$2:$I$1001,"",0)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_xlfn.XLOOKUP(Orders_Table[[#This Row],[Customer ID]],customers!$A$2:$A$1001,customers!$I$2:$I$1001,"",0)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_xlfn.XLOOKUP(Orders_Table[[#This Row],[Customer ID]],customers!$A$2:$A$1001,customers!$I$2:$I$1001,"",0)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_xlfn.XLOOKUP(Orders_Table[[#This Row],[Customer ID]],customers!$A$2:$A$1001,customers!$I$2:$I$1001,"",0)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_xlfn.XLOOKUP(Orders_Table[[#This Row],[Customer ID]],customers!$A$2:$A$1001,customers!$I$2:$I$1001,"",0)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_xlfn.XLOOKUP(Orders_Table[[#This Row],[Customer ID]],customers!$A$2:$A$1001,customers!$I$2:$I$1001,"",0)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_xlfn.XLOOKUP(Orders_Table[[#This Row],[Customer ID]],customers!$A$2:$A$1001,customers!$I$2:$I$1001,"",0)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_xlfn.XLOOKUP(Orders_Table[[#This Row],[Customer ID]],customers!$A$2:$A$1001,customers!$I$2:$I$1001,"",0)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_xlfn.XLOOKUP(Orders_Table[[#This Row],[Customer ID]],customers!$A$2:$A$1001,customers!$I$2:$I$1001,"",0)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_xlfn.XLOOKUP(Orders_Table[[#This Row],[Customer ID]],customers!$A$2:$A$1001,customers!$I$2:$I$1001,"",0)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_xlfn.XLOOKUP(Orders_Table[[#This Row],[Customer ID]],customers!$A$2:$A$1001,customers!$I$2:$I$1001,"",0)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_xlfn.XLOOKUP(Orders_Table[[#This Row],[Customer ID]],customers!$A$2:$A$1001,customers!$I$2:$I$1001,"",0)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_xlfn.XLOOKUP(Orders_Table[[#This Row],[Customer ID]],customers!$A$2:$A$1001,customers!$I$2:$I$1001,"",0)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_xlfn.XLOOKUP(Orders_Table[[#This Row],[Customer ID]],customers!$A$2:$A$1001,customers!$I$2:$I$1001,"",0)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_xlfn.XLOOKUP(Orders_Table[[#This Row],[Customer ID]],customers!$A$2:$A$1001,customers!$I$2:$I$1001,"",0)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_xlfn.XLOOKUP(Orders_Table[[#This Row],[Customer ID]],customers!$A$2:$A$1001,customers!$I$2:$I$1001,"",0)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_xlfn.XLOOKUP(Orders_Table[[#This Row],[Customer ID]],customers!$A$2:$A$1001,customers!$I$2:$I$1001,"",0)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_xlfn.XLOOKUP(Orders_Table[[#This Row],[Customer ID]],customers!$A$2:$A$1001,customers!$I$2:$I$1001,"",0)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_xlfn.XLOOKUP(Orders_Table[[#This Row],[Customer ID]],customers!$A$2:$A$1001,customers!$I$2:$I$1001,"",0)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_xlfn.XLOOKUP(Orders_Table[[#This Row],[Customer ID]],customers!$A$2:$A$1001,customers!$I$2:$I$1001,"",0)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_xlfn.XLOOKUP(Orders_Table[[#This Row],[Customer ID]],customers!$A$2:$A$1001,customers!$I$2:$I$1001,"",0)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_xlfn.XLOOKUP(Orders_Table[[#This Row],[Customer ID]],customers!$A$2:$A$1001,customers!$I$2:$I$1001,"",0)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_xlfn.XLOOKUP(Orders_Table[[#This Row],[Customer ID]],customers!$A$2:$A$1001,customers!$I$2:$I$1001,"",0)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_xlfn.XLOOKUP(Orders_Table[[#This Row],[Customer ID]],customers!$A$2:$A$1001,customers!$I$2:$I$1001,"",0)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_xlfn.XLOOKUP(Orders_Table[[#This Row],[Customer ID]],customers!$A$2:$A$1001,customers!$I$2:$I$1001,"",0)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_xlfn.XLOOKUP(Orders_Table[[#This Row],[Customer ID]],customers!$A$2:$A$1001,customers!$I$2:$I$1001,"",0)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_xlfn.XLOOKUP(Orders_Table[[#This Row],[Customer ID]],customers!$A$2:$A$1001,customers!$I$2:$I$1001,"",0)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_xlfn.XLOOKUP(Orders_Table[[#This Row],[Customer ID]],customers!$A$2:$A$1001,customers!$I$2:$I$1001,"",0)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_xlfn.XLOOKUP(Orders_Table[[#This Row],[Customer ID]],customers!$A$2:$A$1001,customers!$I$2:$I$1001,"",0)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_xlfn.XLOOKUP(Orders_Table[[#This Row],[Customer ID]],customers!$A$2:$A$1001,customers!$I$2:$I$1001,"",0)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_xlfn.XLOOKUP(Orders_Table[[#This Row],[Customer ID]],customers!$A$2:$A$1001,customers!$I$2:$I$1001,"",0)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_xlfn.XLOOKUP(Orders_Table[[#This Row],[Customer ID]],customers!$A$2:$A$1001,customers!$I$2:$I$1001,"",0)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 "Excelsa",IF(I195="Ara","Arabica",IF(I195="Lib","Liberica",""))))</f>
        <v>Excelsa</v>
      </c>
      <c r="O195" t="str">
        <f t="shared" ref="O195:O258" si="11">IF(J195="M","Medium",IF(J195="L","Light",IF(J195="D","Dark","")))</f>
        <v>Light</v>
      </c>
      <c r="P195" t="str">
        <f>_xlfn.XLOOKUP(Orders_Table[[#This Row],[Customer ID]],customers!$A$2:$A$1001,customers!$I$2:$I$1001,"",0)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_xlfn.XLOOKUP(Orders_Table[[#This Row],[Customer ID]],customers!$A$2:$A$1001,customers!$I$2:$I$1001,"",0)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_xlfn.XLOOKUP(Orders_Table[[#This Row],[Customer ID]],customers!$A$2:$A$1001,customers!$I$2:$I$1001,"",0)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_xlfn.XLOOKUP(Orders_Table[[#This Row],[Customer ID]],customers!$A$2:$A$1001,customers!$I$2:$I$1001,"",0)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_xlfn.XLOOKUP(Orders_Table[[#This Row],[Customer ID]],customers!$A$2:$A$1001,customers!$I$2:$I$1001,"",0)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_xlfn.XLOOKUP(Orders_Table[[#This Row],[Customer ID]],customers!$A$2:$A$1001,customers!$I$2:$I$1001,"",0)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_xlfn.XLOOKUP(Orders_Table[[#This Row],[Customer ID]],customers!$A$2:$A$1001,customers!$I$2:$I$1001,"",0)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_xlfn.XLOOKUP(Orders_Table[[#This Row],[Customer ID]],customers!$A$2:$A$1001,customers!$I$2:$I$1001,"",0)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_xlfn.XLOOKUP(Orders_Table[[#This Row],[Customer ID]],customers!$A$2:$A$1001,customers!$I$2:$I$1001,"",0)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_xlfn.XLOOKUP(Orders_Table[[#This Row],[Customer ID]],customers!$A$2:$A$1001,customers!$I$2:$I$1001,"",0)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_xlfn.XLOOKUP(Orders_Table[[#This Row],[Customer ID]],customers!$A$2:$A$1001,customers!$I$2:$I$1001,"",0)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_xlfn.XLOOKUP(Orders_Table[[#This Row],[Customer ID]],customers!$A$2:$A$1001,customers!$I$2:$I$1001,"",0)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_xlfn.XLOOKUP(Orders_Table[[#This Row],[Customer ID]],customers!$A$2:$A$1001,customers!$I$2:$I$1001,"",0)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_xlfn.XLOOKUP(Orders_Table[[#This Row],[Customer ID]],customers!$A$2:$A$1001,customers!$I$2:$I$1001,"",0)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_xlfn.XLOOKUP(Orders_Table[[#This Row],[Customer ID]],customers!$A$2:$A$1001,customers!$I$2:$I$1001,"",0)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_xlfn.XLOOKUP(Orders_Table[[#This Row],[Customer ID]],customers!$A$2:$A$1001,customers!$I$2:$I$1001,"",0)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_xlfn.XLOOKUP(Orders_Table[[#This Row],[Customer ID]],customers!$A$2:$A$1001,customers!$I$2:$I$1001,"",0)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_xlfn.XLOOKUP(Orders_Table[[#This Row],[Customer ID]],customers!$A$2:$A$1001,customers!$I$2:$I$1001,"",0)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_xlfn.XLOOKUP(Orders_Table[[#This Row],[Customer ID]],customers!$A$2:$A$1001,customers!$I$2:$I$1001,"",0)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_xlfn.XLOOKUP(Orders_Table[[#This Row],[Customer ID]],customers!$A$2:$A$1001,customers!$I$2:$I$1001,"",0)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_xlfn.XLOOKUP(Orders_Table[[#This Row],[Customer ID]],customers!$A$2:$A$1001,customers!$I$2:$I$1001,"",0)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_xlfn.XLOOKUP(Orders_Table[[#This Row],[Customer ID]],customers!$A$2:$A$1001,customers!$I$2:$I$1001,"",0)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_xlfn.XLOOKUP(Orders_Table[[#This Row],[Customer ID]],customers!$A$2:$A$1001,customers!$I$2:$I$1001,"",0)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_xlfn.XLOOKUP(Orders_Table[[#This Row],[Customer ID]],customers!$A$2:$A$1001,customers!$I$2:$I$1001,"",0)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_xlfn.XLOOKUP(Orders_Table[[#This Row],[Customer ID]],customers!$A$2:$A$1001,customers!$I$2:$I$1001,"",0)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_xlfn.XLOOKUP(Orders_Table[[#This Row],[Customer ID]],customers!$A$2:$A$1001,customers!$I$2:$I$1001,"",0)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_xlfn.XLOOKUP(Orders_Table[[#This Row],[Customer ID]],customers!$A$2:$A$1001,customers!$I$2:$I$1001,"",0)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_xlfn.XLOOKUP(Orders_Table[[#This Row],[Customer ID]],customers!$A$2:$A$1001,customers!$I$2:$I$1001,"",0)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_xlfn.XLOOKUP(Orders_Table[[#This Row],[Customer ID]],customers!$A$2:$A$1001,customers!$I$2:$I$1001,"",0)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_xlfn.XLOOKUP(Orders_Table[[#This Row],[Customer ID]],customers!$A$2:$A$1001,customers!$I$2:$I$1001,"",0)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_xlfn.XLOOKUP(Orders_Table[[#This Row],[Customer ID]],customers!$A$2:$A$1001,customers!$I$2:$I$1001,"",0)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_xlfn.XLOOKUP(Orders_Table[[#This Row],[Customer ID]],customers!$A$2:$A$1001,customers!$I$2:$I$1001,"",0)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_xlfn.XLOOKUP(Orders_Table[[#This Row],[Customer ID]],customers!$A$2:$A$1001,customers!$I$2:$I$1001,"",0)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_xlfn.XLOOKUP(Orders_Table[[#This Row],[Customer ID]],customers!$A$2:$A$1001,customers!$I$2:$I$1001,"",0)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_xlfn.XLOOKUP(Orders_Table[[#This Row],[Customer ID]],customers!$A$2:$A$1001,customers!$I$2:$I$1001,"",0)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_xlfn.XLOOKUP(Orders_Table[[#This Row],[Customer ID]],customers!$A$2:$A$1001,customers!$I$2:$I$1001,"",0)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_xlfn.XLOOKUP(Orders_Table[[#This Row],[Customer ID]],customers!$A$2:$A$1001,customers!$I$2:$I$1001,"",0)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_xlfn.XLOOKUP(Orders_Table[[#This Row],[Customer ID]],customers!$A$2:$A$1001,customers!$I$2:$I$1001,"",0)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_xlfn.XLOOKUP(Orders_Table[[#This Row],[Customer ID]],customers!$A$2:$A$1001,customers!$I$2:$I$1001,"",0)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_xlfn.XLOOKUP(Orders_Table[[#This Row],[Customer ID]],customers!$A$2:$A$1001,customers!$I$2:$I$1001,"",0)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_xlfn.XLOOKUP(Orders_Table[[#This Row],[Customer ID]],customers!$A$2:$A$1001,customers!$I$2:$I$1001,"",0)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_xlfn.XLOOKUP(Orders_Table[[#This Row],[Customer ID]],customers!$A$2:$A$1001,customers!$I$2:$I$1001,"",0)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_xlfn.XLOOKUP(Orders_Table[[#This Row],[Customer ID]],customers!$A$2:$A$1001,customers!$I$2:$I$1001,"",0)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_xlfn.XLOOKUP(Orders_Table[[#This Row],[Customer ID]],customers!$A$2:$A$1001,customers!$I$2:$I$1001,"",0)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_xlfn.XLOOKUP(Orders_Table[[#This Row],[Customer ID]],customers!$A$2:$A$1001,customers!$I$2:$I$1001,"",0)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_xlfn.XLOOKUP(Orders_Table[[#This Row],[Customer ID]],customers!$A$2:$A$1001,customers!$I$2:$I$1001,"",0)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_xlfn.XLOOKUP(Orders_Table[[#This Row],[Customer ID]],customers!$A$2:$A$1001,customers!$I$2:$I$1001,"",0)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_xlfn.XLOOKUP(Orders_Table[[#This Row],[Customer ID]],customers!$A$2:$A$1001,customers!$I$2:$I$1001,"",0)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_xlfn.XLOOKUP(Orders_Table[[#This Row],[Customer ID]],customers!$A$2:$A$1001,customers!$I$2:$I$1001,"",0)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_xlfn.XLOOKUP(Orders_Table[[#This Row],[Customer ID]],customers!$A$2:$A$1001,customers!$I$2:$I$1001,"",0)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_xlfn.XLOOKUP(Orders_Table[[#This Row],[Customer ID]],customers!$A$2:$A$1001,customers!$I$2:$I$1001,"",0)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_xlfn.XLOOKUP(Orders_Table[[#This Row],[Customer ID]],customers!$A$2:$A$1001,customers!$I$2:$I$1001,"",0)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_xlfn.XLOOKUP(Orders_Table[[#This Row],[Customer ID]],customers!$A$2:$A$1001,customers!$I$2:$I$1001,"",0)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_xlfn.XLOOKUP(Orders_Table[[#This Row],[Customer ID]],customers!$A$2:$A$1001,customers!$I$2:$I$1001,"",0)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_xlfn.XLOOKUP(Orders_Table[[#This Row],[Customer ID]],customers!$A$2:$A$1001,customers!$I$2:$I$1001,"",0)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_xlfn.XLOOKUP(Orders_Table[[#This Row],[Customer ID]],customers!$A$2:$A$1001,customers!$I$2:$I$1001,"",0)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_xlfn.XLOOKUP(Orders_Table[[#This Row],[Customer ID]],customers!$A$2:$A$1001,customers!$I$2:$I$1001,"",0)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_xlfn.XLOOKUP(Orders_Table[[#This Row],[Customer ID]],customers!$A$2:$A$1001,customers!$I$2:$I$1001,"",0)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_xlfn.XLOOKUP(Orders_Table[[#This Row],[Customer ID]],customers!$A$2:$A$1001,customers!$I$2:$I$1001,"",0)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_xlfn.XLOOKUP(Orders_Table[[#This Row],[Customer ID]],customers!$A$2:$A$1001,customers!$I$2:$I$1001,"",0)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_xlfn.XLOOKUP(Orders_Table[[#This Row],[Customer ID]],customers!$A$2:$A$1001,customers!$I$2:$I$1001,"",0)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_xlfn.XLOOKUP(Orders_Table[[#This Row],[Customer ID]],customers!$A$2:$A$1001,customers!$I$2:$I$1001,"",0)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_xlfn.XLOOKUP(Orders_Table[[#This Row],[Customer ID]],customers!$A$2:$A$1001,customers!$I$2:$I$1001,"",0)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_xlfn.XLOOKUP(Orders_Table[[#This Row],[Customer ID]],customers!$A$2:$A$1001,customers!$I$2:$I$1001,"",0)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 "Excelsa",IF(I259="Ara","Arabica",IF(I259="Lib","Liberica",""))))</f>
        <v>Excelsa</v>
      </c>
      <c r="O259" t="str">
        <f t="shared" ref="O259:O322" si="14">IF(J259="M","Medium",IF(J259="L","Light",IF(J259="D","Dark","")))</f>
        <v>Dark</v>
      </c>
      <c r="P259" t="str">
        <f>_xlfn.XLOOKUP(Orders_Table[[#This Row],[Customer ID]],customers!$A$2:$A$1001,customers!$I$2:$I$1001,"",0)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_xlfn.XLOOKUP(Orders_Table[[#This Row],[Customer ID]],customers!$A$2:$A$1001,customers!$I$2:$I$1001,"",0)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_xlfn.XLOOKUP(Orders_Table[[#This Row],[Customer ID]],customers!$A$2:$A$1001,customers!$I$2:$I$1001,"",0)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_xlfn.XLOOKUP(Orders_Table[[#This Row],[Customer ID]],customers!$A$2:$A$1001,customers!$I$2:$I$1001,"",0)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_xlfn.XLOOKUP(Orders_Table[[#This Row],[Customer ID]],customers!$A$2:$A$1001,customers!$I$2:$I$1001,"",0)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_xlfn.XLOOKUP(Orders_Table[[#This Row],[Customer ID]],customers!$A$2:$A$1001,customers!$I$2:$I$1001,"",0)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_xlfn.XLOOKUP(Orders_Table[[#This Row],[Customer ID]],customers!$A$2:$A$1001,customers!$I$2:$I$1001,"",0)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_xlfn.XLOOKUP(Orders_Table[[#This Row],[Customer ID]],customers!$A$2:$A$1001,customers!$I$2:$I$1001,"",0)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_xlfn.XLOOKUP(Orders_Table[[#This Row],[Customer ID]],customers!$A$2:$A$1001,customers!$I$2:$I$1001,"",0)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_xlfn.XLOOKUP(Orders_Table[[#This Row],[Customer ID]],customers!$A$2:$A$1001,customers!$I$2:$I$1001,"",0)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_xlfn.XLOOKUP(Orders_Table[[#This Row],[Customer ID]],customers!$A$2:$A$1001,customers!$I$2:$I$1001,"",0)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_xlfn.XLOOKUP(Orders_Table[[#This Row],[Customer ID]],customers!$A$2:$A$1001,customers!$I$2:$I$1001,"",0)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_xlfn.XLOOKUP(Orders_Table[[#This Row],[Customer ID]],customers!$A$2:$A$1001,customers!$I$2:$I$1001,"",0)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_xlfn.XLOOKUP(Orders_Table[[#This Row],[Customer ID]],customers!$A$2:$A$1001,customers!$I$2:$I$1001,"",0)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_xlfn.XLOOKUP(Orders_Table[[#This Row],[Customer ID]],customers!$A$2:$A$1001,customers!$I$2:$I$1001,"",0)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_xlfn.XLOOKUP(Orders_Table[[#This Row],[Customer ID]],customers!$A$2:$A$1001,customers!$I$2:$I$1001,"",0)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_xlfn.XLOOKUP(Orders_Table[[#This Row],[Customer ID]],customers!$A$2:$A$1001,customers!$I$2:$I$1001,"",0)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_xlfn.XLOOKUP(Orders_Table[[#This Row],[Customer ID]],customers!$A$2:$A$1001,customers!$I$2:$I$1001,"",0)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_xlfn.XLOOKUP(Orders_Table[[#This Row],[Customer ID]],customers!$A$2:$A$1001,customers!$I$2:$I$1001,"",0)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_xlfn.XLOOKUP(Orders_Table[[#This Row],[Customer ID]],customers!$A$2:$A$1001,customers!$I$2:$I$1001,"",0)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_xlfn.XLOOKUP(Orders_Table[[#This Row],[Customer ID]],customers!$A$2:$A$1001,customers!$I$2:$I$1001,"",0)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_xlfn.XLOOKUP(Orders_Table[[#This Row],[Customer ID]],customers!$A$2:$A$1001,customers!$I$2:$I$1001,"",0)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_xlfn.XLOOKUP(Orders_Table[[#This Row],[Customer ID]],customers!$A$2:$A$1001,customers!$I$2:$I$1001,"",0)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_xlfn.XLOOKUP(Orders_Table[[#This Row],[Customer ID]],customers!$A$2:$A$1001,customers!$I$2:$I$1001,"",0)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_xlfn.XLOOKUP(Orders_Table[[#This Row],[Customer ID]],customers!$A$2:$A$1001,customers!$I$2:$I$1001,"",0)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_xlfn.XLOOKUP(Orders_Table[[#This Row],[Customer ID]],customers!$A$2:$A$1001,customers!$I$2:$I$1001,"",0)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_xlfn.XLOOKUP(Orders_Table[[#This Row],[Customer ID]],customers!$A$2:$A$1001,customers!$I$2:$I$1001,"",0)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_xlfn.XLOOKUP(Orders_Table[[#This Row],[Customer ID]],customers!$A$2:$A$1001,customers!$I$2:$I$1001,"",0)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_xlfn.XLOOKUP(Orders_Table[[#This Row],[Customer ID]],customers!$A$2:$A$1001,customers!$I$2:$I$1001,"",0)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_xlfn.XLOOKUP(Orders_Table[[#This Row],[Customer ID]],customers!$A$2:$A$1001,customers!$I$2:$I$1001,"",0)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_xlfn.XLOOKUP(Orders_Table[[#This Row],[Customer ID]],customers!$A$2:$A$1001,customers!$I$2:$I$1001,"",0)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_xlfn.XLOOKUP(Orders_Table[[#This Row],[Customer ID]],customers!$A$2:$A$1001,customers!$I$2:$I$1001,"",0)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_xlfn.XLOOKUP(Orders_Table[[#This Row],[Customer ID]],customers!$A$2:$A$1001,customers!$I$2:$I$1001,"",0)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_xlfn.XLOOKUP(Orders_Table[[#This Row],[Customer ID]],customers!$A$2:$A$1001,customers!$I$2:$I$1001,"",0)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_xlfn.XLOOKUP(Orders_Table[[#This Row],[Customer ID]],customers!$A$2:$A$1001,customers!$I$2:$I$1001,"",0)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_xlfn.XLOOKUP(Orders_Table[[#This Row],[Customer ID]],customers!$A$2:$A$1001,customers!$I$2:$I$1001,"",0)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_xlfn.XLOOKUP(Orders_Table[[#This Row],[Customer ID]],customers!$A$2:$A$1001,customers!$I$2:$I$1001,"",0)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_xlfn.XLOOKUP(Orders_Table[[#This Row],[Customer ID]],customers!$A$2:$A$1001,customers!$I$2:$I$1001,"",0)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_xlfn.XLOOKUP(Orders_Table[[#This Row],[Customer ID]],customers!$A$2:$A$1001,customers!$I$2:$I$1001,"",0)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_xlfn.XLOOKUP(Orders_Table[[#This Row],[Customer ID]],customers!$A$2:$A$1001,customers!$I$2:$I$1001,"",0)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_xlfn.XLOOKUP(Orders_Table[[#This Row],[Customer ID]],customers!$A$2:$A$1001,customers!$I$2:$I$1001,"",0)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_xlfn.XLOOKUP(Orders_Table[[#This Row],[Customer ID]],customers!$A$2:$A$1001,customers!$I$2:$I$1001,"",0)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_xlfn.XLOOKUP(Orders_Table[[#This Row],[Customer ID]],customers!$A$2:$A$1001,customers!$I$2:$I$1001,"",0)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_xlfn.XLOOKUP(Orders_Table[[#This Row],[Customer ID]],customers!$A$2:$A$1001,customers!$I$2:$I$1001,"",0)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_xlfn.XLOOKUP(Orders_Table[[#This Row],[Customer ID]],customers!$A$2:$A$1001,customers!$I$2:$I$1001,"",0)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_xlfn.XLOOKUP(Orders_Table[[#This Row],[Customer ID]],customers!$A$2:$A$1001,customers!$I$2:$I$1001,"",0)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_xlfn.XLOOKUP(Orders_Table[[#This Row],[Customer ID]],customers!$A$2:$A$1001,customers!$I$2:$I$1001,"",0)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_xlfn.XLOOKUP(Orders_Table[[#This Row],[Customer ID]],customers!$A$2:$A$1001,customers!$I$2:$I$1001,"",0)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_xlfn.XLOOKUP(Orders_Table[[#This Row],[Customer ID]],customers!$A$2:$A$1001,customers!$I$2:$I$1001,"",0)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_xlfn.XLOOKUP(Orders_Table[[#This Row],[Customer ID]],customers!$A$2:$A$1001,customers!$I$2:$I$1001,"",0)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_xlfn.XLOOKUP(Orders_Table[[#This Row],[Customer ID]],customers!$A$2:$A$1001,customers!$I$2:$I$1001,"",0)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_xlfn.XLOOKUP(Orders_Table[[#This Row],[Customer ID]],customers!$A$2:$A$1001,customers!$I$2:$I$1001,"",0)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_xlfn.XLOOKUP(Orders_Table[[#This Row],[Customer ID]],customers!$A$2:$A$1001,customers!$I$2:$I$1001,"",0)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_xlfn.XLOOKUP(Orders_Table[[#This Row],[Customer ID]],customers!$A$2:$A$1001,customers!$I$2:$I$1001,"",0)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_xlfn.XLOOKUP(Orders_Table[[#This Row],[Customer ID]],customers!$A$2:$A$1001,customers!$I$2:$I$1001,"",0)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_xlfn.XLOOKUP(Orders_Table[[#This Row],[Customer ID]],customers!$A$2:$A$1001,customers!$I$2:$I$1001,"",0)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_xlfn.XLOOKUP(Orders_Table[[#This Row],[Customer ID]],customers!$A$2:$A$1001,customers!$I$2:$I$1001,"",0)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_xlfn.XLOOKUP(Orders_Table[[#This Row],[Customer ID]],customers!$A$2:$A$1001,customers!$I$2:$I$1001,"",0)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_xlfn.XLOOKUP(Orders_Table[[#This Row],[Customer ID]],customers!$A$2:$A$1001,customers!$I$2:$I$1001,"",0)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_xlfn.XLOOKUP(Orders_Table[[#This Row],[Customer ID]],customers!$A$2:$A$1001,customers!$I$2:$I$1001,"",0)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_xlfn.XLOOKUP(Orders_Table[[#This Row],[Customer ID]],customers!$A$2:$A$1001,customers!$I$2:$I$1001,"",0)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_xlfn.XLOOKUP(Orders_Table[[#This Row],[Customer ID]],customers!$A$2:$A$1001,customers!$I$2:$I$1001,"",0)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_xlfn.XLOOKUP(Orders_Table[[#This Row],[Customer ID]],customers!$A$2:$A$1001,customers!$I$2:$I$1001,"",0)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_xlfn.XLOOKUP(Orders_Table[[#This Row],[Customer ID]],customers!$A$2:$A$1001,customers!$I$2:$I$1001,"",0)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 "Excelsa",IF(I323="Ara","Arabica",IF(I323="Lib","Liberica",""))))</f>
        <v>Arabica</v>
      </c>
      <c r="O323" t="str">
        <f t="shared" ref="O323:O386" si="17">IF(J323="M","Medium",IF(J323="L","Light",IF(J323="D","Dark","")))</f>
        <v>Medium</v>
      </c>
      <c r="P323" t="str">
        <f>_xlfn.XLOOKUP(Orders_Table[[#This Row],[Customer ID]],customers!$A$2:$A$1001,customers!$I$2:$I$1001,"",0)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_xlfn.XLOOKUP(Orders_Table[[#This Row],[Customer ID]],customers!$A$2:$A$1001,customers!$I$2:$I$1001,"",0)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_xlfn.XLOOKUP(Orders_Table[[#This Row],[Customer ID]],customers!$A$2:$A$1001,customers!$I$2:$I$1001,"",0)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_xlfn.XLOOKUP(Orders_Table[[#This Row],[Customer ID]],customers!$A$2:$A$1001,customers!$I$2:$I$1001,"",0)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_xlfn.XLOOKUP(Orders_Table[[#This Row],[Customer ID]],customers!$A$2:$A$1001,customers!$I$2:$I$1001,"",0)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_xlfn.XLOOKUP(Orders_Table[[#This Row],[Customer ID]],customers!$A$2:$A$1001,customers!$I$2:$I$1001,"",0)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_xlfn.XLOOKUP(Orders_Table[[#This Row],[Customer ID]],customers!$A$2:$A$1001,customers!$I$2:$I$1001,"",0)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_xlfn.XLOOKUP(Orders_Table[[#This Row],[Customer ID]],customers!$A$2:$A$1001,customers!$I$2:$I$1001,"",0)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_xlfn.XLOOKUP(Orders_Table[[#This Row],[Customer ID]],customers!$A$2:$A$1001,customers!$I$2:$I$1001,"",0)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_xlfn.XLOOKUP(Orders_Table[[#This Row],[Customer ID]],customers!$A$2:$A$1001,customers!$I$2:$I$1001,"",0)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_xlfn.XLOOKUP(Orders_Table[[#This Row],[Customer ID]],customers!$A$2:$A$1001,customers!$I$2:$I$1001,"",0)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_xlfn.XLOOKUP(Orders_Table[[#This Row],[Customer ID]],customers!$A$2:$A$1001,customers!$I$2:$I$1001,"",0)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_xlfn.XLOOKUP(Orders_Table[[#This Row],[Customer ID]],customers!$A$2:$A$1001,customers!$I$2:$I$1001,"",0)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_xlfn.XLOOKUP(Orders_Table[[#This Row],[Customer ID]],customers!$A$2:$A$1001,customers!$I$2:$I$1001,"",0)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_xlfn.XLOOKUP(Orders_Table[[#This Row],[Customer ID]],customers!$A$2:$A$1001,customers!$I$2:$I$1001,"",0)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_xlfn.XLOOKUP(Orders_Table[[#This Row],[Customer ID]],customers!$A$2:$A$1001,customers!$I$2:$I$1001,"",0)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_xlfn.XLOOKUP(Orders_Table[[#This Row],[Customer ID]],customers!$A$2:$A$1001,customers!$I$2:$I$1001,"",0)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_xlfn.XLOOKUP(Orders_Table[[#This Row],[Customer ID]],customers!$A$2:$A$1001,customers!$I$2:$I$1001,"",0)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_xlfn.XLOOKUP(Orders_Table[[#This Row],[Customer ID]],customers!$A$2:$A$1001,customers!$I$2:$I$1001,"",0)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_xlfn.XLOOKUP(Orders_Table[[#This Row],[Customer ID]],customers!$A$2:$A$1001,customers!$I$2:$I$1001,"",0)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_xlfn.XLOOKUP(Orders_Table[[#This Row],[Customer ID]],customers!$A$2:$A$1001,customers!$I$2:$I$1001,"",0)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_xlfn.XLOOKUP(Orders_Table[[#This Row],[Customer ID]],customers!$A$2:$A$1001,customers!$I$2:$I$1001,"",0)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_xlfn.XLOOKUP(Orders_Table[[#This Row],[Customer ID]],customers!$A$2:$A$1001,customers!$I$2:$I$1001,"",0)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_xlfn.XLOOKUP(Orders_Table[[#This Row],[Customer ID]],customers!$A$2:$A$1001,customers!$I$2:$I$1001,"",0)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_xlfn.XLOOKUP(Orders_Table[[#This Row],[Customer ID]],customers!$A$2:$A$1001,customers!$I$2:$I$1001,"",0)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_xlfn.XLOOKUP(Orders_Table[[#This Row],[Customer ID]],customers!$A$2:$A$1001,customers!$I$2:$I$1001,"",0)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_xlfn.XLOOKUP(Orders_Table[[#This Row],[Customer ID]],customers!$A$2:$A$1001,customers!$I$2:$I$1001,"",0)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_xlfn.XLOOKUP(Orders_Table[[#This Row],[Customer ID]],customers!$A$2:$A$1001,customers!$I$2:$I$1001,"",0)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_xlfn.XLOOKUP(Orders_Table[[#This Row],[Customer ID]],customers!$A$2:$A$1001,customers!$I$2:$I$1001,"",0)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_xlfn.XLOOKUP(Orders_Table[[#This Row],[Customer ID]],customers!$A$2:$A$1001,customers!$I$2:$I$1001,"",0)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_xlfn.XLOOKUP(Orders_Table[[#This Row],[Customer ID]],customers!$A$2:$A$1001,customers!$I$2:$I$1001,"",0)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_xlfn.XLOOKUP(Orders_Table[[#This Row],[Customer ID]],customers!$A$2:$A$1001,customers!$I$2:$I$1001,"",0)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_xlfn.XLOOKUP(Orders_Table[[#This Row],[Customer ID]],customers!$A$2:$A$1001,customers!$I$2:$I$1001,"",0)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_xlfn.XLOOKUP(Orders_Table[[#This Row],[Customer ID]],customers!$A$2:$A$1001,customers!$I$2:$I$1001,"",0)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_xlfn.XLOOKUP(Orders_Table[[#This Row],[Customer ID]],customers!$A$2:$A$1001,customers!$I$2:$I$1001,"",0)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_xlfn.XLOOKUP(Orders_Table[[#This Row],[Customer ID]],customers!$A$2:$A$1001,customers!$I$2:$I$1001,"",0)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_xlfn.XLOOKUP(Orders_Table[[#This Row],[Customer ID]],customers!$A$2:$A$1001,customers!$I$2:$I$1001,"",0)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_xlfn.XLOOKUP(Orders_Table[[#This Row],[Customer ID]],customers!$A$2:$A$1001,customers!$I$2:$I$1001,"",0)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_xlfn.XLOOKUP(Orders_Table[[#This Row],[Customer ID]],customers!$A$2:$A$1001,customers!$I$2:$I$1001,"",0)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_xlfn.XLOOKUP(Orders_Table[[#This Row],[Customer ID]],customers!$A$2:$A$1001,customers!$I$2:$I$1001,"",0)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_xlfn.XLOOKUP(Orders_Table[[#This Row],[Customer ID]],customers!$A$2:$A$1001,customers!$I$2:$I$1001,"",0)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_xlfn.XLOOKUP(Orders_Table[[#This Row],[Customer ID]],customers!$A$2:$A$1001,customers!$I$2:$I$1001,"",0)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_xlfn.XLOOKUP(Orders_Table[[#This Row],[Customer ID]],customers!$A$2:$A$1001,customers!$I$2:$I$1001,"",0)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_xlfn.XLOOKUP(Orders_Table[[#This Row],[Customer ID]],customers!$A$2:$A$1001,customers!$I$2:$I$1001,"",0)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_xlfn.XLOOKUP(Orders_Table[[#This Row],[Customer ID]],customers!$A$2:$A$1001,customers!$I$2:$I$1001,"",0)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_xlfn.XLOOKUP(Orders_Table[[#This Row],[Customer ID]],customers!$A$2:$A$1001,customers!$I$2:$I$1001,"",0)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_xlfn.XLOOKUP(Orders_Table[[#This Row],[Customer ID]],customers!$A$2:$A$1001,customers!$I$2:$I$1001,"",0)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_xlfn.XLOOKUP(Orders_Table[[#This Row],[Customer ID]],customers!$A$2:$A$1001,customers!$I$2:$I$1001,"",0)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_xlfn.XLOOKUP(Orders_Table[[#This Row],[Customer ID]],customers!$A$2:$A$1001,customers!$I$2:$I$1001,"",0)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_xlfn.XLOOKUP(Orders_Table[[#This Row],[Customer ID]],customers!$A$2:$A$1001,customers!$I$2:$I$1001,"",0)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_xlfn.XLOOKUP(Orders_Table[[#This Row],[Customer ID]],customers!$A$2:$A$1001,customers!$I$2:$I$1001,"",0)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_xlfn.XLOOKUP(Orders_Table[[#This Row],[Customer ID]],customers!$A$2:$A$1001,customers!$I$2:$I$1001,"",0)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_xlfn.XLOOKUP(Orders_Table[[#This Row],[Customer ID]],customers!$A$2:$A$1001,customers!$I$2:$I$1001,"",0)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_xlfn.XLOOKUP(Orders_Table[[#This Row],[Customer ID]],customers!$A$2:$A$1001,customers!$I$2:$I$1001,"",0)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_xlfn.XLOOKUP(Orders_Table[[#This Row],[Customer ID]],customers!$A$2:$A$1001,customers!$I$2:$I$1001,"",0)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_xlfn.XLOOKUP(Orders_Table[[#This Row],[Customer ID]],customers!$A$2:$A$1001,customers!$I$2:$I$1001,"",0)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_xlfn.XLOOKUP(Orders_Table[[#This Row],[Customer ID]],customers!$A$2:$A$1001,customers!$I$2:$I$1001,"",0)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_xlfn.XLOOKUP(Orders_Table[[#This Row],[Customer ID]],customers!$A$2:$A$1001,customers!$I$2:$I$1001,"",0)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_xlfn.XLOOKUP(Orders_Table[[#This Row],[Customer ID]],customers!$A$2:$A$1001,customers!$I$2:$I$1001,"",0)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_xlfn.XLOOKUP(Orders_Table[[#This Row],[Customer ID]],customers!$A$2:$A$1001,customers!$I$2:$I$1001,"",0)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_xlfn.XLOOKUP(Orders_Table[[#This Row],[Customer ID]],customers!$A$2:$A$1001,customers!$I$2:$I$1001,"",0)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_xlfn.XLOOKUP(Orders_Table[[#This Row],[Customer ID]],customers!$A$2:$A$1001,customers!$I$2:$I$1001,"",0)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_xlfn.XLOOKUP(Orders_Table[[#This Row],[Customer ID]],customers!$A$2:$A$1001,customers!$I$2:$I$1001,"",0)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_xlfn.XLOOKUP(Orders_Table[[#This Row],[Customer ID]],customers!$A$2:$A$1001,customers!$I$2:$I$1001,"",0)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 "Excelsa",IF(I387="Ara","Arabica",IF(I387="Lib","Liberica",""))))</f>
        <v>Liberica</v>
      </c>
      <c r="O387" t="str">
        <f t="shared" ref="O387:O450" si="20">IF(J387="M","Medium",IF(J387="L","Light",IF(J387="D","Dark","")))</f>
        <v>Medium</v>
      </c>
      <c r="P387" t="str">
        <f>_xlfn.XLOOKUP(Orders_Table[[#This Row],[Customer ID]],customers!$A$2:$A$1001,customers!$I$2:$I$1001,"",0)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_xlfn.XLOOKUP(Orders_Table[[#This Row],[Customer ID]],customers!$A$2:$A$1001,customers!$I$2:$I$1001,"",0)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_xlfn.XLOOKUP(Orders_Table[[#This Row],[Customer ID]],customers!$A$2:$A$1001,customers!$I$2:$I$1001,"",0)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_xlfn.XLOOKUP(Orders_Table[[#This Row],[Customer ID]],customers!$A$2:$A$1001,customers!$I$2:$I$1001,"",0)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_xlfn.XLOOKUP(Orders_Table[[#This Row],[Customer ID]],customers!$A$2:$A$1001,customers!$I$2:$I$1001,"",0)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_xlfn.XLOOKUP(Orders_Table[[#This Row],[Customer ID]],customers!$A$2:$A$1001,customers!$I$2:$I$1001,"",0)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_xlfn.XLOOKUP(Orders_Table[[#This Row],[Customer ID]],customers!$A$2:$A$1001,customers!$I$2:$I$1001,"",0)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_xlfn.XLOOKUP(Orders_Table[[#This Row],[Customer ID]],customers!$A$2:$A$1001,customers!$I$2:$I$1001,"",0)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_xlfn.XLOOKUP(Orders_Table[[#This Row],[Customer ID]],customers!$A$2:$A$1001,customers!$I$2:$I$1001,"",0)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_xlfn.XLOOKUP(Orders_Table[[#This Row],[Customer ID]],customers!$A$2:$A$1001,customers!$I$2:$I$1001,"",0)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_xlfn.XLOOKUP(Orders_Table[[#This Row],[Customer ID]],customers!$A$2:$A$1001,customers!$I$2:$I$1001,"",0)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_xlfn.XLOOKUP(Orders_Table[[#This Row],[Customer ID]],customers!$A$2:$A$1001,customers!$I$2:$I$1001,"",0)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_xlfn.XLOOKUP(Orders_Table[[#This Row],[Customer ID]],customers!$A$2:$A$1001,customers!$I$2:$I$1001,"",0)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_xlfn.XLOOKUP(Orders_Table[[#This Row],[Customer ID]],customers!$A$2:$A$1001,customers!$I$2:$I$1001,"",0)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_xlfn.XLOOKUP(Orders_Table[[#This Row],[Customer ID]],customers!$A$2:$A$1001,customers!$I$2:$I$1001,"",0)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_xlfn.XLOOKUP(Orders_Table[[#This Row],[Customer ID]],customers!$A$2:$A$1001,customers!$I$2:$I$1001,"",0)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_xlfn.XLOOKUP(Orders_Table[[#This Row],[Customer ID]],customers!$A$2:$A$1001,customers!$I$2:$I$1001,"",0)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_xlfn.XLOOKUP(Orders_Table[[#This Row],[Customer ID]],customers!$A$2:$A$1001,customers!$I$2:$I$1001,"",0)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_xlfn.XLOOKUP(Orders_Table[[#This Row],[Customer ID]],customers!$A$2:$A$1001,customers!$I$2:$I$1001,"",0)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_xlfn.XLOOKUP(Orders_Table[[#This Row],[Customer ID]],customers!$A$2:$A$1001,customers!$I$2:$I$1001,"",0)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_xlfn.XLOOKUP(Orders_Table[[#This Row],[Customer ID]],customers!$A$2:$A$1001,customers!$I$2:$I$1001,"",0)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_xlfn.XLOOKUP(Orders_Table[[#This Row],[Customer ID]],customers!$A$2:$A$1001,customers!$I$2:$I$1001,"",0)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_xlfn.XLOOKUP(Orders_Table[[#This Row],[Customer ID]],customers!$A$2:$A$1001,customers!$I$2:$I$1001,"",0)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_xlfn.XLOOKUP(Orders_Table[[#This Row],[Customer ID]],customers!$A$2:$A$1001,customers!$I$2:$I$1001,"",0)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_xlfn.XLOOKUP(Orders_Table[[#This Row],[Customer ID]],customers!$A$2:$A$1001,customers!$I$2:$I$1001,"",0)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_xlfn.XLOOKUP(Orders_Table[[#This Row],[Customer ID]],customers!$A$2:$A$1001,customers!$I$2:$I$1001,"",0)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_xlfn.XLOOKUP(Orders_Table[[#This Row],[Customer ID]],customers!$A$2:$A$1001,customers!$I$2:$I$1001,"",0)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_xlfn.XLOOKUP(Orders_Table[[#This Row],[Customer ID]],customers!$A$2:$A$1001,customers!$I$2:$I$1001,"",0)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_xlfn.XLOOKUP(Orders_Table[[#This Row],[Customer ID]],customers!$A$2:$A$1001,customers!$I$2:$I$1001,"",0)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_xlfn.XLOOKUP(Orders_Table[[#This Row],[Customer ID]],customers!$A$2:$A$1001,customers!$I$2:$I$1001,"",0)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_xlfn.XLOOKUP(Orders_Table[[#This Row],[Customer ID]],customers!$A$2:$A$1001,customers!$I$2:$I$1001,"",0)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_xlfn.XLOOKUP(Orders_Table[[#This Row],[Customer ID]],customers!$A$2:$A$1001,customers!$I$2:$I$1001,"",0)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_xlfn.XLOOKUP(Orders_Table[[#This Row],[Customer ID]],customers!$A$2:$A$1001,customers!$I$2:$I$1001,"",0)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_xlfn.XLOOKUP(Orders_Table[[#This Row],[Customer ID]],customers!$A$2:$A$1001,customers!$I$2:$I$1001,"",0)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_xlfn.XLOOKUP(Orders_Table[[#This Row],[Customer ID]],customers!$A$2:$A$1001,customers!$I$2:$I$1001,"",0)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_xlfn.XLOOKUP(Orders_Table[[#This Row],[Customer ID]],customers!$A$2:$A$1001,customers!$I$2:$I$1001,"",0)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_xlfn.XLOOKUP(Orders_Table[[#This Row],[Customer ID]],customers!$A$2:$A$1001,customers!$I$2:$I$1001,"",0)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_xlfn.XLOOKUP(Orders_Table[[#This Row],[Customer ID]],customers!$A$2:$A$1001,customers!$I$2:$I$1001,"",0)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_xlfn.XLOOKUP(Orders_Table[[#This Row],[Customer ID]],customers!$A$2:$A$1001,customers!$I$2:$I$1001,"",0)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_xlfn.XLOOKUP(Orders_Table[[#This Row],[Customer ID]],customers!$A$2:$A$1001,customers!$I$2:$I$1001,"",0)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_xlfn.XLOOKUP(Orders_Table[[#This Row],[Customer ID]],customers!$A$2:$A$1001,customers!$I$2:$I$1001,"",0)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_xlfn.XLOOKUP(Orders_Table[[#This Row],[Customer ID]],customers!$A$2:$A$1001,customers!$I$2:$I$1001,"",0)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_xlfn.XLOOKUP(Orders_Table[[#This Row],[Customer ID]],customers!$A$2:$A$1001,customers!$I$2:$I$1001,"",0)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_xlfn.XLOOKUP(Orders_Table[[#This Row],[Customer ID]],customers!$A$2:$A$1001,customers!$I$2:$I$1001,"",0)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_xlfn.XLOOKUP(Orders_Table[[#This Row],[Customer ID]],customers!$A$2:$A$1001,customers!$I$2:$I$1001,"",0)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_xlfn.XLOOKUP(Orders_Table[[#This Row],[Customer ID]],customers!$A$2:$A$1001,customers!$I$2:$I$1001,"",0)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_xlfn.XLOOKUP(Orders_Table[[#This Row],[Customer ID]],customers!$A$2:$A$1001,customers!$I$2:$I$1001,"",0)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_xlfn.XLOOKUP(Orders_Table[[#This Row],[Customer ID]],customers!$A$2:$A$1001,customers!$I$2:$I$1001,"",0)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_xlfn.XLOOKUP(Orders_Table[[#This Row],[Customer ID]],customers!$A$2:$A$1001,customers!$I$2:$I$1001,"",0)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_xlfn.XLOOKUP(Orders_Table[[#This Row],[Customer ID]],customers!$A$2:$A$1001,customers!$I$2:$I$1001,"",0)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_xlfn.XLOOKUP(Orders_Table[[#This Row],[Customer ID]],customers!$A$2:$A$1001,customers!$I$2:$I$1001,"",0)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_xlfn.XLOOKUP(Orders_Table[[#This Row],[Customer ID]],customers!$A$2:$A$1001,customers!$I$2:$I$1001,"",0)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_xlfn.XLOOKUP(Orders_Table[[#This Row],[Customer ID]],customers!$A$2:$A$1001,customers!$I$2:$I$1001,"",0)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_xlfn.XLOOKUP(Orders_Table[[#This Row],[Customer ID]],customers!$A$2:$A$1001,customers!$I$2:$I$1001,"",0)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_xlfn.XLOOKUP(Orders_Table[[#This Row],[Customer ID]],customers!$A$2:$A$1001,customers!$I$2:$I$1001,"",0)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_xlfn.XLOOKUP(Orders_Table[[#This Row],[Customer ID]],customers!$A$2:$A$1001,customers!$I$2:$I$1001,"",0)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_xlfn.XLOOKUP(Orders_Table[[#This Row],[Customer ID]],customers!$A$2:$A$1001,customers!$I$2:$I$1001,"",0)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_xlfn.XLOOKUP(Orders_Table[[#This Row],[Customer ID]],customers!$A$2:$A$1001,customers!$I$2:$I$1001,"",0)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_xlfn.XLOOKUP(Orders_Table[[#This Row],[Customer ID]],customers!$A$2:$A$1001,customers!$I$2:$I$1001,"",0)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_xlfn.XLOOKUP(Orders_Table[[#This Row],[Customer ID]],customers!$A$2:$A$1001,customers!$I$2:$I$1001,"",0)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_xlfn.XLOOKUP(Orders_Table[[#This Row],[Customer ID]],customers!$A$2:$A$1001,customers!$I$2:$I$1001,"",0)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_xlfn.XLOOKUP(Orders_Table[[#This Row],[Customer ID]],customers!$A$2:$A$1001,customers!$I$2:$I$1001,"",0)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_xlfn.XLOOKUP(Orders_Table[[#This Row],[Customer ID]],customers!$A$2:$A$1001,customers!$I$2:$I$1001,"",0)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_xlfn.XLOOKUP(Orders_Table[[#This Row],[Customer ID]],customers!$A$2:$A$1001,customers!$I$2:$I$1001,"",0)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 "Excelsa",IF(I451="Ara","Arabica",IF(I451="Lib","Liberica",""))))</f>
        <v>Robusta</v>
      </c>
      <c r="O451" t="str">
        <f t="shared" ref="O451:O514" si="23">IF(J451="M","Medium",IF(J451="L","Light",IF(J451="D","Dark","")))</f>
        <v>Dark</v>
      </c>
      <c r="P451" t="str">
        <f>_xlfn.XLOOKUP(Orders_Table[[#This Row],[Customer ID]],customers!$A$2:$A$1001,customers!$I$2:$I$1001,"",0)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_xlfn.XLOOKUP(Orders_Table[[#This Row],[Customer ID]],customers!$A$2:$A$1001,customers!$I$2:$I$1001,"",0)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_xlfn.XLOOKUP(Orders_Table[[#This Row],[Customer ID]],customers!$A$2:$A$1001,customers!$I$2:$I$1001,"",0)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_xlfn.XLOOKUP(Orders_Table[[#This Row],[Customer ID]],customers!$A$2:$A$1001,customers!$I$2:$I$1001,"",0)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_xlfn.XLOOKUP(Orders_Table[[#This Row],[Customer ID]],customers!$A$2:$A$1001,customers!$I$2:$I$1001,"",0)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_xlfn.XLOOKUP(Orders_Table[[#This Row],[Customer ID]],customers!$A$2:$A$1001,customers!$I$2:$I$1001,"",0)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_xlfn.XLOOKUP(Orders_Table[[#This Row],[Customer ID]],customers!$A$2:$A$1001,customers!$I$2:$I$1001,"",0)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_xlfn.XLOOKUP(Orders_Table[[#This Row],[Customer ID]],customers!$A$2:$A$1001,customers!$I$2:$I$1001,"",0)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_xlfn.XLOOKUP(Orders_Table[[#This Row],[Customer ID]],customers!$A$2:$A$1001,customers!$I$2:$I$1001,"",0)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_xlfn.XLOOKUP(Orders_Table[[#This Row],[Customer ID]],customers!$A$2:$A$1001,customers!$I$2:$I$1001,"",0)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_xlfn.XLOOKUP(Orders_Table[[#This Row],[Customer ID]],customers!$A$2:$A$1001,customers!$I$2:$I$1001,"",0)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_xlfn.XLOOKUP(Orders_Table[[#This Row],[Customer ID]],customers!$A$2:$A$1001,customers!$I$2:$I$1001,"",0)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_xlfn.XLOOKUP(Orders_Table[[#This Row],[Customer ID]],customers!$A$2:$A$1001,customers!$I$2:$I$1001,"",0)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_xlfn.XLOOKUP(Orders_Table[[#This Row],[Customer ID]],customers!$A$2:$A$1001,customers!$I$2:$I$1001,"",0)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_xlfn.XLOOKUP(Orders_Table[[#This Row],[Customer ID]],customers!$A$2:$A$1001,customers!$I$2:$I$1001,"",0)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_xlfn.XLOOKUP(Orders_Table[[#This Row],[Customer ID]],customers!$A$2:$A$1001,customers!$I$2:$I$1001,"",0)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_xlfn.XLOOKUP(Orders_Table[[#This Row],[Customer ID]],customers!$A$2:$A$1001,customers!$I$2:$I$1001,"",0)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_xlfn.XLOOKUP(Orders_Table[[#This Row],[Customer ID]],customers!$A$2:$A$1001,customers!$I$2:$I$1001,"",0)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_xlfn.XLOOKUP(Orders_Table[[#This Row],[Customer ID]],customers!$A$2:$A$1001,customers!$I$2:$I$1001,"",0)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_xlfn.XLOOKUP(Orders_Table[[#This Row],[Customer ID]],customers!$A$2:$A$1001,customers!$I$2:$I$1001,"",0)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_xlfn.XLOOKUP(Orders_Table[[#This Row],[Customer ID]],customers!$A$2:$A$1001,customers!$I$2:$I$1001,"",0)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_xlfn.XLOOKUP(Orders_Table[[#This Row],[Customer ID]],customers!$A$2:$A$1001,customers!$I$2:$I$1001,"",0)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_xlfn.XLOOKUP(Orders_Table[[#This Row],[Customer ID]],customers!$A$2:$A$1001,customers!$I$2:$I$1001,"",0)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_xlfn.XLOOKUP(Orders_Table[[#This Row],[Customer ID]],customers!$A$2:$A$1001,customers!$I$2:$I$1001,"",0)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_xlfn.XLOOKUP(Orders_Table[[#This Row],[Customer ID]],customers!$A$2:$A$1001,customers!$I$2:$I$1001,"",0)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_xlfn.XLOOKUP(Orders_Table[[#This Row],[Customer ID]],customers!$A$2:$A$1001,customers!$I$2:$I$1001,"",0)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_xlfn.XLOOKUP(Orders_Table[[#This Row],[Customer ID]],customers!$A$2:$A$1001,customers!$I$2:$I$1001,"",0)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_xlfn.XLOOKUP(Orders_Table[[#This Row],[Customer ID]],customers!$A$2:$A$1001,customers!$I$2:$I$1001,"",0)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_xlfn.XLOOKUP(Orders_Table[[#This Row],[Customer ID]],customers!$A$2:$A$1001,customers!$I$2:$I$1001,"",0)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_xlfn.XLOOKUP(Orders_Table[[#This Row],[Customer ID]],customers!$A$2:$A$1001,customers!$I$2:$I$1001,"",0)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_xlfn.XLOOKUP(Orders_Table[[#This Row],[Customer ID]],customers!$A$2:$A$1001,customers!$I$2:$I$1001,"",0)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_xlfn.XLOOKUP(Orders_Table[[#This Row],[Customer ID]],customers!$A$2:$A$1001,customers!$I$2:$I$1001,"",0)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_xlfn.XLOOKUP(Orders_Table[[#This Row],[Customer ID]],customers!$A$2:$A$1001,customers!$I$2:$I$1001,"",0)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_xlfn.XLOOKUP(Orders_Table[[#This Row],[Customer ID]],customers!$A$2:$A$1001,customers!$I$2:$I$1001,"",0)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_xlfn.XLOOKUP(Orders_Table[[#This Row],[Customer ID]],customers!$A$2:$A$1001,customers!$I$2:$I$1001,"",0)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_xlfn.XLOOKUP(Orders_Table[[#This Row],[Customer ID]],customers!$A$2:$A$1001,customers!$I$2:$I$1001,"",0)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_xlfn.XLOOKUP(Orders_Table[[#This Row],[Customer ID]],customers!$A$2:$A$1001,customers!$I$2:$I$1001,"",0)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_xlfn.XLOOKUP(Orders_Table[[#This Row],[Customer ID]],customers!$A$2:$A$1001,customers!$I$2:$I$1001,"",0)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_xlfn.XLOOKUP(Orders_Table[[#This Row],[Customer ID]],customers!$A$2:$A$1001,customers!$I$2:$I$1001,"",0)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_xlfn.XLOOKUP(Orders_Table[[#This Row],[Customer ID]],customers!$A$2:$A$1001,customers!$I$2:$I$1001,"",0)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_xlfn.XLOOKUP(Orders_Table[[#This Row],[Customer ID]],customers!$A$2:$A$1001,customers!$I$2:$I$1001,"",0)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_xlfn.XLOOKUP(Orders_Table[[#This Row],[Customer ID]],customers!$A$2:$A$1001,customers!$I$2:$I$1001,"",0)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_xlfn.XLOOKUP(Orders_Table[[#This Row],[Customer ID]],customers!$A$2:$A$1001,customers!$I$2:$I$1001,"",0)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_xlfn.XLOOKUP(Orders_Table[[#This Row],[Customer ID]],customers!$A$2:$A$1001,customers!$I$2:$I$1001,"",0)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_xlfn.XLOOKUP(Orders_Table[[#This Row],[Customer ID]],customers!$A$2:$A$1001,customers!$I$2:$I$1001,"",0)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_xlfn.XLOOKUP(Orders_Table[[#This Row],[Customer ID]],customers!$A$2:$A$1001,customers!$I$2:$I$1001,"",0)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_xlfn.XLOOKUP(Orders_Table[[#This Row],[Customer ID]],customers!$A$2:$A$1001,customers!$I$2:$I$1001,"",0)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_xlfn.XLOOKUP(Orders_Table[[#This Row],[Customer ID]],customers!$A$2:$A$1001,customers!$I$2:$I$1001,"",0)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_xlfn.XLOOKUP(Orders_Table[[#This Row],[Customer ID]],customers!$A$2:$A$1001,customers!$I$2:$I$1001,"",0)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_xlfn.XLOOKUP(Orders_Table[[#This Row],[Customer ID]],customers!$A$2:$A$1001,customers!$I$2:$I$1001,"",0)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_xlfn.XLOOKUP(Orders_Table[[#This Row],[Customer ID]],customers!$A$2:$A$1001,customers!$I$2:$I$1001,"",0)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_xlfn.XLOOKUP(Orders_Table[[#This Row],[Customer ID]],customers!$A$2:$A$1001,customers!$I$2:$I$1001,"",0)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_xlfn.XLOOKUP(Orders_Table[[#This Row],[Customer ID]],customers!$A$2:$A$1001,customers!$I$2:$I$1001,"",0)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_xlfn.XLOOKUP(Orders_Table[[#This Row],[Customer ID]],customers!$A$2:$A$1001,customers!$I$2:$I$1001,"",0)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_xlfn.XLOOKUP(Orders_Table[[#This Row],[Customer ID]],customers!$A$2:$A$1001,customers!$I$2:$I$1001,"",0)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_xlfn.XLOOKUP(Orders_Table[[#This Row],[Customer ID]],customers!$A$2:$A$1001,customers!$I$2:$I$1001,"",0)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_xlfn.XLOOKUP(Orders_Table[[#This Row],[Customer ID]],customers!$A$2:$A$1001,customers!$I$2:$I$1001,"",0)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_xlfn.XLOOKUP(Orders_Table[[#This Row],[Customer ID]],customers!$A$2:$A$1001,customers!$I$2:$I$1001,"",0)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_xlfn.XLOOKUP(Orders_Table[[#This Row],[Customer ID]],customers!$A$2:$A$1001,customers!$I$2:$I$1001,"",0)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_xlfn.XLOOKUP(Orders_Table[[#This Row],[Customer ID]],customers!$A$2:$A$1001,customers!$I$2:$I$1001,"",0)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_xlfn.XLOOKUP(Orders_Table[[#This Row],[Customer ID]],customers!$A$2:$A$1001,customers!$I$2:$I$1001,"",0)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_xlfn.XLOOKUP(Orders_Table[[#This Row],[Customer ID]],customers!$A$2:$A$1001,customers!$I$2:$I$1001,"",0)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_xlfn.XLOOKUP(Orders_Table[[#This Row],[Customer ID]],customers!$A$2:$A$1001,customers!$I$2:$I$1001,"",0)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_xlfn.XLOOKUP(Orders_Table[[#This Row],[Customer ID]],customers!$A$2:$A$1001,customers!$I$2:$I$1001,"",0)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 "Excelsa",IF(I515="Ara","Arabica",IF(I515="Lib","Liberica",""))))</f>
        <v>Liberica</v>
      </c>
      <c r="O515" t="str">
        <f t="shared" ref="O515:O578" si="26">IF(J515="M","Medium",IF(J515="L","Light",IF(J515="D","Dark","")))</f>
        <v>Light</v>
      </c>
      <c r="P515" t="str">
        <f>_xlfn.XLOOKUP(Orders_Table[[#This Row],[Customer ID]],customers!$A$2:$A$1001,customers!$I$2:$I$1001,"",0)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_xlfn.XLOOKUP(Orders_Table[[#This Row],[Customer ID]],customers!$A$2:$A$1001,customers!$I$2:$I$1001,"",0)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_xlfn.XLOOKUP(Orders_Table[[#This Row],[Customer ID]],customers!$A$2:$A$1001,customers!$I$2:$I$1001,"",0)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_xlfn.XLOOKUP(Orders_Table[[#This Row],[Customer ID]],customers!$A$2:$A$1001,customers!$I$2:$I$1001,"",0)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_xlfn.XLOOKUP(Orders_Table[[#This Row],[Customer ID]],customers!$A$2:$A$1001,customers!$I$2:$I$1001,"",0)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_xlfn.XLOOKUP(Orders_Table[[#This Row],[Customer ID]],customers!$A$2:$A$1001,customers!$I$2:$I$1001,"",0)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_xlfn.XLOOKUP(Orders_Table[[#This Row],[Customer ID]],customers!$A$2:$A$1001,customers!$I$2:$I$1001,"",0)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_xlfn.XLOOKUP(Orders_Table[[#This Row],[Customer ID]],customers!$A$2:$A$1001,customers!$I$2:$I$1001,"",0)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_xlfn.XLOOKUP(Orders_Table[[#This Row],[Customer ID]],customers!$A$2:$A$1001,customers!$I$2:$I$1001,"",0)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_xlfn.XLOOKUP(Orders_Table[[#This Row],[Customer ID]],customers!$A$2:$A$1001,customers!$I$2:$I$1001,"",0)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_xlfn.XLOOKUP(Orders_Table[[#This Row],[Customer ID]],customers!$A$2:$A$1001,customers!$I$2:$I$1001,"",0)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_xlfn.XLOOKUP(Orders_Table[[#This Row],[Customer ID]],customers!$A$2:$A$1001,customers!$I$2:$I$1001,"",0)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_xlfn.XLOOKUP(Orders_Table[[#This Row],[Customer ID]],customers!$A$2:$A$1001,customers!$I$2:$I$1001,"",0)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_xlfn.XLOOKUP(Orders_Table[[#This Row],[Customer ID]],customers!$A$2:$A$1001,customers!$I$2:$I$1001,"",0)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_xlfn.XLOOKUP(Orders_Table[[#This Row],[Customer ID]],customers!$A$2:$A$1001,customers!$I$2:$I$1001,"",0)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_xlfn.XLOOKUP(Orders_Table[[#This Row],[Customer ID]],customers!$A$2:$A$1001,customers!$I$2:$I$1001,"",0)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_xlfn.XLOOKUP(Orders_Table[[#This Row],[Customer ID]],customers!$A$2:$A$1001,customers!$I$2:$I$1001,"",0)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_xlfn.XLOOKUP(Orders_Table[[#This Row],[Customer ID]],customers!$A$2:$A$1001,customers!$I$2:$I$1001,"",0)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_xlfn.XLOOKUP(Orders_Table[[#This Row],[Customer ID]],customers!$A$2:$A$1001,customers!$I$2:$I$1001,"",0)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_xlfn.XLOOKUP(Orders_Table[[#This Row],[Customer ID]],customers!$A$2:$A$1001,customers!$I$2:$I$1001,"",0)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_xlfn.XLOOKUP(Orders_Table[[#This Row],[Customer ID]],customers!$A$2:$A$1001,customers!$I$2:$I$1001,"",0)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_xlfn.XLOOKUP(Orders_Table[[#This Row],[Customer ID]],customers!$A$2:$A$1001,customers!$I$2:$I$1001,"",0)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_xlfn.XLOOKUP(Orders_Table[[#This Row],[Customer ID]],customers!$A$2:$A$1001,customers!$I$2:$I$1001,"",0)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_xlfn.XLOOKUP(Orders_Table[[#This Row],[Customer ID]],customers!$A$2:$A$1001,customers!$I$2:$I$1001,"",0)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_xlfn.XLOOKUP(Orders_Table[[#This Row],[Customer ID]],customers!$A$2:$A$1001,customers!$I$2:$I$1001,"",0)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_xlfn.XLOOKUP(Orders_Table[[#This Row],[Customer ID]],customers!$A$2:$A$1001,customers!$I$2:$I$1001,"",0)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_xlfn.XLOOKUP(Orders_Table[[#This Row],[Customer ID]],customers!$A$2:$A$1001,customers!$I$2:$I$1001,"",0)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_xlfn.XLOOKUP(Orders_Table[[#This Row],[Customer ID]],customers!$A$2:$A$1001,customers!$I$2:$I$1001,"",0)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_xlfn.XLOOKUP(Orders_Table[[#This Row],[Customer ID]],customers!$A$2:$A$1001,customers!$I$2:$I$1001,"",0)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_xlfn.XLOOKUP(Orders_Table[[#This Row],[Customer ID]],customers!$A$2:$A$1001,customers!$I$2:$I$1001,"",0)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_xlfn.XLOOKUP(Orders_Table[[#This Row],[Customer ID]],customers!$A$2:$A$1001,customers!$I$2:$I$1001,"",0)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_xlfn.XLOOKUP(Orders_Table[[#This Row],[Customer ID]],customers!$A$2:$A$1001,customers!$I$2:$I$1001,"",0)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_xlfn.XLOOKUP(Orders_Table[[#This Row],[Customer ID]],customers!$A$2:$A$1001,customers!$I$2:$I$1001,"",0)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_xlfn.XLOOKUP(Orders_Table[[#This Row],[Customer ID]],customers!$A$2:$A$1001,customers!$I$2:$I$1001,"",0)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_xlfn.XLOOKUP(Orders_Table[[#This Row],[Customer ID]],customers!$A$2:$A$1001,customers!$I$2:$I$1001,"",0)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_xlfn.XLOOKUP(Orders_Table[[#This Row],[Customer ID]],customers!$A$2:$A$1001,customers!$I$2:$I$1001,"",0)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_xlfn.XLOOKUP(Orders_Table[[#This Row],[Customer ID]],customers!$A$2:$A$1001,customers!$I$2:$I$1001,"",0)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_xlfn.XLOOKUP(Orders_Table[[#This Row],[Customer ID]],customers!$A$2:$A$1001,customers!$I$2:$I$1001,"",0)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_xlfn.XLOOKUP(Orders_Table[[#This Row],[Customer ID]],customers!$A$2:$A$1001,customers!$I$2:$I$1001,"",0)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_xlfn.XLOOKUP(Orders_Table[[#This Row],[Customer ID]],customers!$A$2:$A$1001,customers!$I$2:$I$1001,"",0)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_xlfn.XLOOKUP(Orders_Table[[#This Row],[Customer ID]],customers!$A$2:$A$1001,customers!$I$2:$I$1001,"",0)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_xlfn.XLOOKUP(Orders_Table[[#This Row],[Customer ID]],customers!$A$2:$A$1001,customers!$I$2:$I$1001,"",0)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_xlfn.XLOOKUP(Orders_Table[[#This Row],[Customer ID]],customers!$A$2:$A$1001,customers!$I$2:$I$1001,"",0)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_xlfn.XLOOKUP(Orders_Table[[#This Row],[Customer ID]],customers!$A$2:$A$1001,customers!$I$2:$I$1001,"",0)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_xlfn.XLOOKUP(Orders_Table[[#This Row],[Customer ID]],customers!$A$2:$A$1001,customers!$I$2:$I$1001,"",0)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_xlfn.XLOOKUP(Orders_Table[[#This Row],[Customer ID]],customers!$A$2:$A$1001,customers!$I$2:$I$1001,"",0)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_xlfn.XLOOKUP(Orders_Table[[#This Row],[Customer ID]],customers!$A$2:$A$1001,customers!$I$2:$I$1001,"",0)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_xlfn.XLOOKUP(Orders_Table[[#This Row],[Customer ID]],customers!$A$2:$A$1001,customers!$I$2:$I$1001,"",0)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_xlfn.XLOOKUP(Orders_Table[[#This Row],[Customer ID]],customers!$A$2:$A$1001,customers!$I$2:$I$1001,"",0)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_xlfn.XLOOKUP(Orders_Table[[#This Row],[Customer ID]],customers!$A$2:$A$1001,customers!$I$2:$I$1001,"",0)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_xlfn.XLOOKUP(Orders_Table[[#This Row],[Customer ID]],customers!$A$2:$A$1001,customers!$I$2:$I$1001,"",0)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_xlfn.XLOOKUP(Orders_Table[[#This Row],[Customer ID]],customers!$A$2:$A$1001,customers!$I$2:$I$1001,"",0)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_xlfn.XLOOKUP(Orders_Table[[#This Row],[Customer ID]],customers!$A$2:$A$1001,customers!$I$2:$I$1001,"",0)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_xlfn.XLOOKUP(Orders_Table[[#This Row],[Customer ID]],customers!$A$2:$A$1001,customers!$I$2:$I$1001,"",0)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_xlfn.XLOOKUP(Orders_Table[[#This Row],[Customer ID]],customers!$A$2:$A$1001,customers!$I$2:$I$1001,"",0)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_xlfn.XLOOKUP(Orders_Table[[#This Row],[Customer ID]],customers!$A$2:$A$1001,customers!$I$2:$I$1001,"",0)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_xlfn.XLOOKUP(Orders_Table[[#This Row],[Customer ID]],customers!$A$2:$A$1001,customers!$I$2:$I$1001,"",0)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_xlfn.XLOOKUP(Orders_Table[[#This Row],[Customer ID]],customers!$A$2:$A$1001,customers!$I$2:$I$1001,"",0)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_xlfn.XLOOKUP(Orders_Table[[#This Row],[Customer ID]],customers!$A$2:$A$1001,customers!$I$2:$I$1001,"",0)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_xlfn.XLOOKUP(Orders_Table[[#This Row],[Customer ID]],customers!$A$2:$A$1001,customers!$I$2:$I$1001,"",0)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_xlfn.XLOOKUP(Orders_Table[[#This Row],[Customer ID]],customers!$A$2:$A$1001,customers!$I$2:$I$1001,"",0)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_xlfn.XLOOKUP(Orders_Table[[#This Row],[Customer ID]],customers!$A$2:$A$1001,customers!$I$2:$I$1001,"",0)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_xlfn.XLOOKUP(Orders_Table[[#This Row],[Customer ID]],customers!$A$2:$A$1001,customers!$I$2:$I$1001,"",0)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_xlfn.XLOOKUP(Orders_Table[[#This Row],[Customer ID]],customers!$A$2:$A$1001,customers!$I$2:$I$1001,"",0)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 "Excelsa",IF(I579="Ara","Arabica",IF(I579="Lib","Liberica",""))))</f>
        <v>Liberica</v>
      </c>
      <c r="O579" t="str">
        <f t="shared" ref="O579:O642" si="29">IF(J579="M","Medium",IF(J579="L","Light",IF(J579="D","Dark","")))</f>
        <v>Medium</v>
      </c>
      <c r="P579" t="str">
        <f>_xlfn.XLOOKUP(Orders_Table[[#This Row],[Customer ID]],customers!$A$2:$A$1001,customers!$I$2:$I$1001,"",0)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_xlfn.XLOOKUP(Orders_Table[[#This Row],[Customer ID]],customers!$A$2:$A$1001,customers!$I$2:$I$1001,"",0)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_xlfn.XLOOKUP(Orders_Table[[#This Row],[Customer ID]],customers!$A$2:$A$1001,customers!$I$2:$I$1001,"",0)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_xlfn.XLOOKUP(Orders_Table[[#This Row],[Customer ID]],customers!$A$2:$A$1001,customers!$I$2:$I$1001,"",0)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_xlfn.XLOOKUP(Orders_Table[[#This Row],[Customer ID]],customers!$A$2:$A$1001,customers!$I$2:$I$1001,"",0)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_xlfn.XLOOKUP(Orders_Table[[#This Row],[Customer ID]],customers!$A$2:$A$1001,customers!$I$2:$I$1001,"",0)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_xlfn.XLOOKUP(Orders_Table[[#This Row],[Customer ID]],customers!$A$2:$A$1001,customers!$I$2:$I$1001,"",0)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_xlfn.XLOOKUP(Orders_Table[[#This Row],[Customer ID]],customers!$A$2:$A$1001,customers!$I$2:$I$1001,"",0)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_xlfn.XLOOKUP(Orders_Table[[#This Row],[Customer ID]],customers!$A$2:$A$1001,customers!$I$2:$I$1001,"",0)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_xlfn.XLOOKUP(Orders_Table[[#This Row],[Customer ID]],customers!$A$2:$A$1001,customers!$I$2:$I$1001,"",0)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_xlfn.XLOOKUP(Orders_Table[[#This Row],[Customer ID]],customers!$A$2:$A$1001,customers!$I$2:$I$1001,"",0)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_xlfn.XLOOKUP(Orders_Table[[#This Row],[Customer ID]],customers!$A$2:$A$1001,customers!$I$2:$I$1001,"",0)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_xlfn.XLOOKUP(Orders_Table[[#This Row],[Customer ID]],customers!$A$2:$A$1001,customers!$I$2:$I$1001,"",0)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_xlfn.XLOOKUP(Orders_Table[[#This Row],[Customer ID]],customers!$A$2:$A$1001,customers!$I$2:$I$1001,"",0)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_xlfn.XLOOKUP(Orders_Table[[#This Row],[Customer ID]],customers!$A$2:$A$1001,customers!$I$2:$I$1001,"",0)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_xlfn.XLOOKUP(Orders_Table[[#This Row],[Customer ID]],customers!$A$2:$A$1001,customers!$I$2:$I$1001,"",0)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_xlfn.XLOOKUP(Orders_Table[[#This Row],[Customer ID]],customers!$A$2:$A$1001,customers!$I$2:$I$1001,"",0)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_xlfn.XLOOKUP(Orders_Table[[#This Row],[Customer ID]],customers!$A$2:$A$1001,customers!$I$2:$I$1001,"",0)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_xlfn.XLOOKUP(Orders_Table[[#This Row],[Customer ID]],customers!$A$2:$A$1001,customers!$I$2:$I$1001,"",0)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_xlfn.XLOOKUP(Orders_Table[[#This Row],[Customer ID]],customers!$A$2:$A$1001,customers!$I$2:$I$1001,"",0)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_xlfn.XLOOKUP(Orders_Table[[#This Row],[Customer ID]],customers!$A$2:$A$1001,customers!$I$2:$I$1001,"",0)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_xlfn.XLOOKUP(Orders_Table[[#This Row],[Customer ID]],customers!$A$2:$A$1001,customers!$I$2:$I$1001,"",0)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_xlfn.XLOOKUP(Orders_Table[[#This Row],[Customer ID]],customers!$A$2:$A$1001,customers!$I$2:$I$1001,"",0)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_xlfn.XLOOKUP(Orders_Table[[#This Row],[Customer ID]],customers!$A$2:$A$1001,customers!$I$2:$I$1001,"",0)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_xlfn.XLOOKUP(Orders_Table[[#This Row],[Customer ID]],customers!$A$2:$A$1001,customers!$I$2:$I$1001,"",0)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_xlfn.XLOOKUP(Orders_Table[[#This Row],[Customer ID]],customers!$A$2:$A$1001,customers!$I$2:$I$1001,"",0)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_xlfn.XLOOKUP(Orders_Table[[#This Row],[Customer ID]],customers!$A$2:$A$1001,customers!$I$2:$I$1001,"",0)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_xlfn.XLOOKUP(Orders_Table[[#This Row],[Customer ID]],customers!$A$2:$A$1001,customers!$I$2:$I$1001,"",0)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_xlfn.XLOOKUP(Orders_Table[[#This Row],[Customer ID]],customers!$A$2:$A$1001,customers!$I$2:$I$1001,"",0)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_xlfn.XLOOKUP(Orders_Table[[#This Row],[Customer ID]],customers!$A$2:$A$1001,customers!$I$2:$I$1001,"",0)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_xlfn.XLOOKUP(Orders_Table[[#This Row],[Customer ID]],customers!$A$2:$A$1001,customers!$I$2:$I$1001,"",0)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_xlfn.XLOOKUP(Orders_Table[[#This Row],[Customer ID]],customers!$A$2:$A$1001,customers!$I$2:$I$1001,"",0)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_xlfn.XLOOKUP(Orders_Table[[#This Row],[Customer ID]],customers!$A$2:$A$1001,customers!$I$2:$I$1001,"",0)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_xlfn.XLOOKUP(Orders_Table[[#This Row],[Customer ID]],customers!$A$2:$A$1001,customers!$I$2:$I$1001,"",0)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_xlfn.XLOOKUP(Orders_Table[[#This Row],[Customer ID]],customers!$A$2:$A$1001,customers!$I$2:$I$1001,"",0)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_xlfn.XLOOKUP(Orders_Table[[#This Row],[Customer ID]],customers!$A$2:$A$1001,customers!$I$2:$I$1001,"",0)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_xlfn.XLOOKUP(Orders_Table[[#This Row],[Customer ID]],customers!$A$2:$A$1001,customers!$I$2:$I$1001,"",0)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_xlfn.XLOOKUP(Orders_Table[[#This Row],[Customer ID]],customers!$A$2:$A$1001,customers!$I$2:$I$1001,"",0)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_xlfn.XLOOKUP(Orders_Table[[#This Row],[Customer ID]],customers!$A$2:$A$1001,customers!$I$2:$I$1001,"",0)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_xlfn.XLOOKUP(Orders_Table[[#This Row],[Customer ID]],customers!$A$2:$A$1001,customers!$I$2:$I$1001,"",0)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_xlfn.XLOOKUP(Orders_Table[[#This Row],[Customer ID]],customers!$A$2:$A$1001,customers!$I$2:$I$1001,"",0)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_xlfn.XLOOKUP(Orders_Table[[#This Row],[Customer ID]],customers!$A$2:$A$1001,customers!$I$2:$I$1001,"",0)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_xlfn.XLOOKUP(Orders_Table[[#This Row],[Customer ID]],customers!$A$2:$A$1001,customers!$I$2:$I$1001,"",0)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_xlfn.XLOOKUP(Orders_Table[[#This Row],[Customer ID]],customers!$A$2:$A$1001,customers!$I$2:$I$1001,"",0)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_xlfn.XLOOKUP(Orders_Table[[#This Row],[Customer ID]],customers!$A$2:$A$1001,customers!$I$2:$I$1001,"",0)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_xlfn.XLOOKUP(Orders_Table[[#This Row],[Customer ID]],customers!$A$2:$A$1001,customers!$I$2:$I$1001,"",0)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_xlfn.XLOOKUP(Orders_Table[[#This Row],[Customer ID]],customers!$A$2:$A$1001,customers!$I$2:$I$1001,"",0)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_xlfn.XLOOKUP(Orders_Table[[#This Row],[Customer ID]],customers!$A$2:$A$1001,customers!$I$2:$I$1001,"",0)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_xlfn.XLOOKUP(Orders_Table[[#This Row],[Customer ID]],customers!$A$2:$A$1001,customers!$I$2:$I$1001,"",0)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_xlfn.XLOOKUP(Orders_Table[[#This Row],[Customer ID]],customers!$A$2:$A$1001,customers!$I$2:$I$1001,"",0)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_xlfn.XLOOKUP(Orders_Table[[#This Row],[Customer ID]],customers!$A$2:$A$1001,customers!$I$2:$I$1001,"",0)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_xlfn.XLOOKUP(Orders_Table[[#This Row],[Customer ID]],customers!$A$2:$A$1001,customers!$I$2:$I$1001,"",0)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_xlfn.XLOOKUP(Orders_Table[[#This Row],[Customer ID]],customers!$A$2:$A$1001,customers!$I$2:$I$1001,"",0)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_xlfn.XLOOKUP(Orders_Table[[#This Row],[Customer ID]],customers!$A$2:$A$1001,customers!$I$2:$I$1001,"",0)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_xlfn.XLOOKUP(Orders_Table[[#This Row],[Customer ID]],customers!$A$2:$A$1001,customers!$I$2:$I$1001,"",0)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_xlfn.XLOOKUP(Orders_Table[[#This Row],[Customer ID]],customers!$A$2:$A$1001,customers!$I$2:$I$1001,"",0)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_xlfn.XLOOKUP(Orders_Table[[#This Row],[Customer ID]],customers!$A$2:$A$1001,customers!$I$2:$I$1001,"",0)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_xlfn.XLOOKUP(Orders_Table[[#This Row],[Customer ID]],customers!$A$2:$A$1001,customers!$I$2:$I$1001,"",0)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_xlfn.XLOOKUP(Orders_Table[[#This Row],[Customer ID]],customers!$A$2:$A$1001,customers!$I$2:$I$1001,"",0)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_xlfn.XLOOKUP(Orders_Table[[#This Row],[Customer ID]],customers!$A$2:$A$1001,customers!$I$2:$I$1001,"",0)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_xlfn.XLOOKUP(Orders_Table[[#This Row],[Customer ID]],customers!$A$2:$A$1001,customers!$I$2:$I$1001,"",0)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_xlfn.XLOOKUP(Orders_Table[[#This Row],[Customer ID]],customers!$A$2:$A$1001,customers!$I$2:$I$1001,"",0)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_xlfn.XLOOKUP(Orders_Table[[#This Row],[Customer ID]],customers!$A$2:$A$1001,customers!$I$2:$I$1001,"",0)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_xlfn.XLOOKUP(Orders_Table[[#This Row],[Customer ID]],customers!$A$2:$A$1001,customers!$I$2:$I$1001,"",0)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 "Excelsa",IF(I643="Ara","Arabica",IF(I643="Lib","Liberica",""))))</f>
        <v>Robusta</v>
      </c>
      <c r="O643" t="str">
        <f t="shared" ref="O643:O706" si="32">IF(J643="M","Medium",IF(J643="L","Light",IF(J643="D","Dark","")))</f>
        <v>Light</v>
      </c>
      <c r="P643" t="str">
        <f>_xlfn.XLOOKUP(Orders_Table[[#This Row],[Customer ID]],customers!$A$2:$A$1001,customers!$I$2:$I$1001,"",0)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_xlfn.XLOOKUP(Orders_Table[[#This Row],[Customer ID]],customers!$A$2:$A$1001,customers!$I$2:$I$1001,"",0)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_xlfn.XLOOKUP(Orders_Table[[#This Row],[Customer ID]],customers!$A$2:$A$1001,customers!$I$2:$I$1001,"",0)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_xlfn.XLOOKUP(Orders_Table[[#This Row],[Customer ID]],customers!$A$2:$A$1001,customers!$I$2:$I$1001,"",0)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_xlfn.XLOOKUP(Orders_Table[[#This Row],[Customer ID]],customers!$A$2:$A$1001,customers!$I$2:$I$1001,"",0)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_xlfn.XLOOKUP(Orders_Table[[#This Row],[Customer ID]],customers!$A$2:$A$1001,customers!$I$2:$I$1001,"",0)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_xlfn.XLOOKUP(Orders_Table[[#This Row],[Customer ID]],customers!$A$2:$A$1001,customers!$I$2:$I$1001,"",0)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_xlfn.XLOOKUP(Orders_Table[[#This Row],[Customer ID]],customers!$A$2:$A$1001,customers!$I$2:$I$1001,"",0)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_xlfn.XLOOKUP(Orders_Table[[#This Row],[Customer ID]],customers!$A$2:$A$1001,customers!$I$2:$I$1001,"",0)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_xlfn.XLOOKUP(Orders_Table[[#This Row],[Customer ID]],customers!$A$2:$A$1001,customers!$I$2:$I$1001,"",0)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_xlfn.XLOOKUP(Orders_Table[[#This Row],[Customer ID]],customers!$A$2:$A$1001,customers!$I$2:$I$1001,"",0)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_xlfn.XLOOKUP(Orders_Table[[#This Row],[Customer ID]],customers!$A$2:$A$1001,customers!$I$2:$I$1001,"",0)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_xlfn.XLOOKUP(Orders_Table[[#This Row],[Customer ID]],customers!$A$2:$A$1001,customers!$I$2:$I$1001,"",0)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_xlfn.XLOOKUP(Orders_Table[[#This Row],[Customer ID]],customers!$A$2:$A$1001,customers!$I$2:$I$1001,"",0)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_xlfn.XLOOKUP(Orders_Table[[#This Row],[Customer ID]],customers!$A$2:$A$1001,customers!$I$2:$I$1001,"",0)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_xlfn.XLOOKUP(Orders_Table[[#This Row],[Customer ID]],customers!$A$2:$A$1001,customers!$I$2:$I$1001,"",0)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_xlfn.XLOOKUP(Orders_Table[[#This Row],[Customer ID]],customers!$A$2:$A$1001,customers!$I$2:$I$1001,"",0)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_xlfn.XLOOKUP(Orders_Table[[#This Row],[Customer ID]],customers!$A$2:$A$1001,customers!$I$2:$I$1001,"",0)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_xlfn.XLOOKUP(Orders_Table[[#This Row],[Customer ID]],customers!$A$2:$A$1001,customers!$I$2:$I$1001,"",0)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_xlfn.XLOOKUP(Orders_Table[[#This Row],[Customer ID]],customers!$A$2:$A$1001,customers!$I$2:$I$1001,"",0)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_xlfn.XLOOKUP(Orders_Table[[#This Row],[Customer ID]],customers!$A$2:$A$1001,customers!$I$2:$I$1001,"",0)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_xlfn.XLOOKUP(Orders_Table[[#This Row],[Customer ID]],customers!$A$2:$A$1001,customers!$I$2:$I$1001,"",0)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_xlfn.XLOOKUP(Orders_Table[[#This Row],[Customer ID]],customers!$A$2:$A$1001,customers!$I$2:$I$1001,"",0)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_xlfn.XLOOKUP(Orders_Table[[#This Row],[Customer ID]],customers!$A$2:$A$1001,customers!$I$2:$I$1001,"",0)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_xlfn.XLOOKUP(Orders_Table[[#This Row],[Customer ID]],customers!$A$2:$A$1001,customers!$I$2:$I$1001,"",0)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_xlfn.XLOOKUP(Orders_Table[[#This Row],[Customer ID]],customers!$A$2:$A$1001,customers!$I$2:$I$1001,"",0)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_xlfn.XLOOKUP(Orders_Table[[#This Row],[Customer ID]],customers!$A$2:$A$1001,customers!$I$2:$I$1001,"",0)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_xlfn.XLOOKUP(Orders_Table[[#This Row],[Customer ID]],customers!$A$2:$A$1001,customers!$I$2:$I$1001,"",0)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_xlfn.XLOOKUP(Orders_Table[[#This Row],[Customer ID]],customers!$A$2:$A$1001,customers!$I$2:$I$1001,"",0)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_xlfn.XLOOKUP(Orders_Table[[#This Row],[Customer ID]],customers!$A$2:$A$1001,customers!$I$2:$I$1001,"",0)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_xlfn.XLOOKUP(Orders_Table[[#This Row],[Customer ID]],customers!$A$2:$A$1001,customers!$I$2:$I$1001,"",0)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_xlfn.XLOOKUP(Orders_Table[[#This Row],[Customer ID]],customers!$A$2:$A$1001,customers!$I$2:$I$1001,"",0)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_xlfn.XLOOKUP(Orders_Table[[#This Row],[Customer ID]],customers!$A$2:$A$1001,customers!$I$2:$I$1001,"",0)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_xlfn.XLOOKUP(Orders_Table[[#This Row],[Customer ID]],customers!$A$2:$A$1001,customers!$I$2:$I$1001,"",0)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_xlfn.XLOOKUP(Orders_Table[[#This Row],[Customer ID]],customers!$A$2:$A$1001,customers!$I$2:$I$1001,"",0)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_xlfn.XLOOKUP(Orders_Table[[#This Row],[Customer ID]],customers!$A$2:$A$1001,customers!$I$2:$I$1001,"",0)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_xlfn.XLOOKUP(Orders_Table[[#This Row],[Customer ID]],customers!$A$2:$A$1001,customers!$I$2:$I$1001,"",0)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_xlfn.XLOOKUP(Orders_Table[[#This Row],[Customer ID]],customers!$A$2:$A$1001,customers!$I$2:$I$1001,"",0)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_xlfn.XLOOKUP(Orders_Table[[#This Row],[Customer ID]],customers!$A$2:$A$1001,customers!$I$2:$I$1001,"",0)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_xlfn.XLOOKUP(Orders_Table[[#This Row],[Customer ID]],customers!$A$2:$A$1001,customers!$I$2:$I$1001,"",0)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_xlfn.XLOOKUP(Orders_Table[[#This Row],[Customer ID]],customers!$A$2:$A$1001,customers!$I$2:$I$1001,"",0)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_xlfn.XLOOKUP(Orders_Table[[#This Row],[Customer ID]],customers!$A$2:$A$1001,customers!$I$2:$I$1001,"",0)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_xlfn.XLOOKUP(Orders_Table[[#This Row],[Customer ID]],customers!$A$2:$A$1001,customers!$I$2:$I$1001,"",0)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_xlfn.XLOOKUP(Orders_Table[[#This Row],[Customer ID]],customers!$A$2:$A$1001,customers!$I$2:$I$1001,"",0)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_xlfn.XLOOKUP(Orders_Table[[#This Row],[Customer ID]],customers!$A$2:$A$1001,customers!$I$2:$I$1001,"",0)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_xlfn.XLOOKUP(Orders_Table[[#This Row],[Customer ID]],customers!$A$2:$A$1001,customers!$I$2:$I$1001,"",0)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_xlfn.XLOOKUP(Orders_Table[[#This Row],[Customer ID]],customers!$A$2:$A$1001,customers!$I$2:$I$1001,"",0)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_xlfn.XLOOKUP(Orders_Table[[#This Row],[Customer ID]],customers!$A$2:$A$1001,customers!$I$2:$I$1001,"",0)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_xlfn.XLOOKUP(Orders_Table[[#This Row],[Customer ID]],customers!$A$2:$A$1001,customers!$I$2:$I$1001,"",0)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_xlfn.XLOOKUP(Orders_Table[[#This Row],[Customer ID]],customers!$A$2:$A$1001,customers!$I$2:$I$1001,"",0)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_xlfn.XLOOKUP(Orders_Table[[#This Row],[Customer ID]],customers!$A$2:$A$1001,customers!$I$2:$I$1001,"",0)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_xlfn.XLOOKUP(Orders_Table[[#This Row],[Customer ID]],customers!$A$2:$A$1001,customers!$I$2:$I$1001,"",0)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_xlfn.XLOOKUP(Orders_Table[[#This Row],[Customer ID]],customers!$A$2:$A$1001,customers!$I$2:$I$1001,"",0)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_xlfn.XLOOKUP(Orders_Table[[#This Row],[Customer ID]],customers!$A$2:$A$1001,customers!$I$2:$I$1001,"",0)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_xlfn.XLOOKUP(Orders_Table[[#This Row],[Customer ID]],customers!$A$2:$A$1001,customers!$I$2:$I$1001,"",0)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_xlfn.XLOOKUP(Orders_Table[[#This Row],[Customer ID]],customers!$A$2:$A$1001,customers!$I$2:$I$1001,"",0)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_xlfn.XLOOKUP(Orders_Table[[#This Row],[Customer ID]],customers!$A$2:$A$1001,customers!$I$2:$I$1001,"",0)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_xlfn.XLOOKUP(Orders_Table[[#This Row],[Customer ID]],customers!$A$2:$A$1001,customers!$I$2:$I$1001,"",0)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_xlfn.XLOOKUP(Orders_Table[[#This Row],[Customer ID]],customers!$A$2:$A$1001,customers!$I$2:$I$1001,"",0)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_xlfn.XLOOKUP(Orders_Table[[#This Row],[Customer ID]],customers!$A$2:$A$1001,customers!$I$2:$I$1001,"",0)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_xlfn.XLOOKUP(Orders_Table[[#This Row],[Customer ID]],customers!$A$2:$A$1001,customers!$I$2:$I$1001,"",0)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_xlfn.XLOOKUP(Orders_Table[[#This Row],[Customer ID]],customers!$A$2:$A$1001,customers!$I$2:$I$1001,"",0)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_xlfn.XLOOKUP(Orders_Table[[#This Row],[Customer ID]],customers!$A$2:$A$1001,customers!$I$2:$I$1001,"",0)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_xlfn.XLOOKUP(Orders_Table[[#This Row],[Customer ID]],customers!$A$2:$A$1001,customers!$I$2:$I$1001,"",0)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 "Excelsa",IF(I707="Ara","Arabica",IF(I707="Lib","Liberica",""))))</f>
        <v>Excelsa</v>
      </c>
      <c r="O707" t="str">
        <f t="shared" ref="O707:O770" si="35">IF(J707="M","Medium",IF(J707="L","Light",IF(J707="D","Dark","")))</f>
        <v>Light</v>
      </c>
      <c r="P707" t="str">
        <f>_xlfn.XLOOKUP(Orders_Table[[#This Row],[Customer ID]],customers!$A$2:$A$1001,customers!$I$2:$I$1001,"",0)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_xlfn.XLOOKUP(Orders_Table[[#This Row],[Customer ID]],customers!$A$2:$A$1001,customers!$I$2:$I$1001,"",0)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_xlfn.XLOOKUP(Orders_Table[[#This Row],[Customer ID]],customers!$A$2:$A$1001,customers!$I$2:$I$1001,"",0)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_xlfn.XLOOKUP(Orders_Table[[#This Row],[Customer ID]],customers!$A$2:$A$1001,customers!$I$2:$I$1001,"",0)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_xlfn.XLOOKUP(Orders_Table[[#This Row],[Customer ID]],customers!$A$2:$A$1001,customers!$I$2:$I$1001,"",0)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_xlfn.XLOOKUP(Orders_Table[[#This Row],[Customer ID]],customers!$A$2:$A$1001,customers!$I$2:$I$1001,"",0)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_xlfn.XLOOKUP(Orders_Table[[#This Row],[Customer ID]],customers!$A$2:$A$1001,customers!$I$2:$I$1001,"",0)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_xlfn.XLOOKUP(Orders_Table[[#This Row],[Customer ID]],customers!$A$2:$A$1001,customers!$I$2:$I$1001,"",0)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_xlfn.XLOOKUP(Orders_Table[[#This Row],[Customer ID]],customers!$A$2:$A$1001,customers!$I$2:$I$1001,"",0)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_xlfn.XLOOKUP(Orders_Table[[#This Row],[Customer ID]],customers!$A$2:$A$1001,customers!$I$2:$I$1001,"",0)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_xlfn.XLOOKUP(Orders_Table[[#This Row],[Customer ID]],customers!$A$2:$A$1001,customers!$I$2:$I$1001,"",0)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_xlfn.XLOOKUP(Orders_Table[[#This Row],[Customer ID]],customers!$A$2:$A$1001,customers!$I$2:$I$1001,"",0)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_xlfn.XLOOKUP(Orders_Table[[#This Row],[Customer ID]],customers!$A$2:$A$1001,customers!$I$2:$I$1001,"",0)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_xlfn.XLOOKUP(Orders_Table[[#This Row],[Customer ID]],customers!$A$2:$A$1001,customers!$I$2:$I$1001,"",0)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_xlfn.XLOOKUP(Orders_Table[[#This Row],[Customer ID]],customers!$A$2:$A$1001,customers!$I$2:$I$1001,"",0)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_xlfn.XLOOKUP(Orders_Table[[#This Row],[Customer ID]],customers!$A$2:$A$1001,customers!$I$2:$I$1001,"",0)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_xlfn.XLOOKUP(Orders_Table[[#This Row],[Customer ID]],customers!$A$2:$A$1001,customers!$I$2:$I$1001,"",0)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_xlfn.XLOOKUP(Orders_Table[[#This Row],[Customer ID]],customers!$A$2:$A$1001,customers!$I$2:$I$1001,"",0)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_xlfn.XLOOKUP(Orders_Table[[#This Row],[Customer ID]],customers!$A$2:$A$1001,customers!$I$2:$I$1001,"",0)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_xlfn.XLOOKUP(Orders_Table[[#This Row],[Customer ID]],customers!$A$2:$A$1001,customers!$I$2:$I$1001,"",0)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_xlfn.XLOOKUP(Orders_Table[[#This Row],[Customer ID]],customers!$A$2:$A$1001,customers!$I$2:$I$1001,"",0)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_xlfn.XLOOKUP(Orders_Table[[#This Row],[Customer ID]],customers!$A$2:$A$1001,customers!$I$2:$I$1001,"",0)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_xlfn.XLOOKUP(Orders_Table[[#This Row],[Customer ID]],customers!$A$2:$A$1001,customers!$I$2:$I$1001,"",0)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_xlfn.XLOOKUP(Orders_Table[[#This Row],[Customer ID]],customers!$A$2:$A$1001,customers!$I$2:$I$1001,"",0)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_xlfn.XLOOKUP(Orders_Table[[#This Row],[Customer ID]],customers!$A$2:$A$1001,customers!$I$2:$I$1001,"",0)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_xlfn.XLOOKUP(Orders_Table[[#This Row],[Customer ID]],customers!$A$2:$A$1001,customers!$I$2:$I$1001,"",0)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_xlfn.XLOOKUP(Orders_Table[[#This Row],[Customer ID]],customers!$A$2:$A$1001,customers!$I$2:$I$1001,"",0)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_xlfn.XLOOKUP(Orders_Table[[#This Row],[Customer ID]],customers!$A$2:$A$1001,customers!$I$2:$I$1001,"",0)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_xlfn.XLOOKUP(Orders_Table[[#This Row],[Customer ID]],customers!$A$2:$A$1001,customers!$I$2:$I$1001,"",0)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_xlfn.XLOOKUP(Orders_Table[[#This Row],[Customer ID]],customers!$A$2:$A$1001,customers!$I$2:$I$1001,"",0)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_xlfn.XLOOKUP(Orders_Table[[#This Row],[Customer ID]],customers!$A$2:$A$1001,customers!$I$2:$I$1001,"",0)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_xlfn.XLOOKUP(Orders_Table[[#This Row],[Customer ID]],customers!$A$2:$A$1001,customers!$I$2:$I$1001,"",0)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_xlfn.XLOOKUP(Orders_Table[[#This Row],[Customer ID]],customers!$A$2:$A$1001,customers!$I$2:$I$1001,"",0)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_xlfn.XLOOKUP(Orders_Table[[#This Row],[Customer ID]],customers!$A$2:$A$1001,customers!$I$2:$I$1001,"",0)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_xlfn.XLOOKUP(Orders_Table[[#This Row],[Customer ID]],customers!$A$2:$A$1001,customers!$I$2:$I$1001,"",0)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_xlfn.XLOOKUP(Orders_Table[[#This Row],[Customer ID]],customers!$A$2:$A$1001,customers!$I$2:$I$1001,"",0)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_xlfn.XLOOKUP(Orders_Table[[#This Row],[Customer ID]],customers!$A$2:$A$1001,customers!$I$2:$I$1001,"",0)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_xlfn.XLOOKUP(Orders_Table[[#This Row],[Customer ID]],customers!$A$2:$A$1001,customers!$I$2:$I$1001,"",0)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_xlfn.XLOOKUP(Orders_Table[[#This Row],[Customer ID]],customers!$A$2:$A$1001,customers!$I$2:$I$1001,"",0)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_xlfn.XLOOKUP(Orders_Table[[#This Row],[Customer ID]],customers!$A$2:$A$1001,customers!$I$2:$I$1001,"",0)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_xlfn.XLOOKUP(Orders_Table[[#This Row],[Customer ID]],customers!$A$2:$A$1001,customers!$I$2:$I$1001,"",0)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_xlfn.XLOOKUP(Orders_Table[[#This Row],[Customer ID]],customers!$A$2:$A$1001,customers!$I$2:$I$1001,"",0)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_xlfn.XLOOKUP(Orders_Table[[#This Row],[Customer ID]],customers!$A$2:$A$1001,customers!$I$2:$I$1001,"",0)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_xlfn.XLOOKUP(Orders_Table[[#This Row],[Customer ID]],customers!$A$2:$A$1001,customers!$I$2:$I$1001,"",0)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_xlfn.XLOOKUP(Orders_Table[[#This Row],[Customer ID]],customers!$A$2:$A$1001,customers!$I$2:$I$1001,"",0)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_xlfn.XLOOKUP(Orders_Table[[#This Row],[Customer ID]],customers!$A$2:$A$1001,customers!$I$2:$I$1001,"",0)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_xlfn.XLOOKUP(Orders_Table[[#This Row],[Customer ID]],customers!$A$2:$A$1001,customers!$I$2:$I$1001,"",0)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_xlfn.XLOOKUP(Orders_Table[[#This Row],[Customer ID]],customers!$A$2:$A$1001,customers!$I$2:$I$1001,"",0)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_xlfn.XLOOKUP(Orders_Table[[#This Row],[Customer ID]],customers!$A$2:$A$1001,customers!$I$2:$I$1001,"",0)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_xlfn.XLOOKUP(Orders_Table[[#This Row],[Customer ID]],customers!$A$2:$A$1001,customers!$I$2:$I$1001,"",0)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_xlfn.XLOOKUP(Orders_Table[[#This Row],[Customer ID]],customers!$A$2:$A$1001,customers!$I$2:$I$1001,"",0)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_xlfn.XLOOKUP(Orders_Table[[#This Row],[Customer ID]],customers!$A$2:$A$1001,customers!$I$2:$I$1001,"",0)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_xlfn.XLOOKUP(Orders_Table[[#This Row],[Customer ID]],customers!$A$2:$A$1001,customers!$I$2:$I$1001,"",0)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_xlfn.XLOOKUP(Orders_Table[[#This Row],[Customer ID]],customers!$A$2:$A$1001,customers!$I$2:$I$1001,"",0)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_xlfn.XLOOKUP(Orders_Table[[#This Row],[Customer ID]],customers!$A$2:$A$1001,customers!$I$2:$I$1001,"",0)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_xlfn.XLOOKUP(Orders_Table[[#This Row],[Customer ID]],customers!$A$2:$A$1001,customers!$I$2:$I$1001,"",0)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_xlfn.XLOOKUP(Orders_Table[[#This Row],[Customer ID]],customers!$A$2:$A$1001,customers!$I$2:$I$1001,"",0)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_xlfn.XLOOKUP(Orders_Table[[#This Row],[Customer ID]],customers!$A$2:$A$1001,customers!$I$2:$I$1001,"",0)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_xlfn.XLOOKUP(Orders_Table[[#This Row],[Customer ID]],customers!$A$2:$A$1001,customers!$I$2:$I$1001,"",0)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_xlfn.XLOOKUP(Orders_Table[[#This Row],[Customer ID]],customers!$A$2:$A$1001,customers!$I$2:$I$1001,"",0)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_xlfn.XLOOKUP(Orders_Table[[#This Row],[Customer ID]],customers!$A$2:$A$1001,customers!$I$2:$I$1001,"",0)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_xlfn.XLOOKUP(Orders_Table[[#This Row],[Customer ID]],customers!$A$2:$A$1001,customers!$I$2:$I$1001,"",0)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_xlfn.XLOOKUP(Orders_Table[[#This Row],[Customer ID]],customers!$A$2:$A$1001,customers!$I$2:$I$1001,"",0)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_xlfn.XLOOKUP(Orders_Table[[#This Row],[Customer ID]],customers!$A$2:$A$1001,customers!$I$2:$I$1001,"",0)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 "Excelsa",IF(I771="Ara","Arabica",IF(I771="Lib","Liberica",""))))</f>
        <v>Robusta</v>
      </c>
      <c r="O771" t="str">
        <f t="shared" ref="O771:O834" si="38">IF(J771="M","Medium",IF(J771="L","Light",IF(J771="D","Dark","")))</f>
        <v>Medium</v>
      </c>
      <c r="P771" t="str">
        <f>_xlfn.XLOOKUP(Orders_Table[[#This Row],[Customer ID]],customers!$A$2:$A$1001,customers!$I$2:$I$1001,"",0)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_xlfn.XLOOKUP(Orders_Table[[#This Row],[Customer ID]],customers!$A$2:$A$1001,customers!$I$2:$I$1001,"",0)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_xlfn.XLOOKUP(Orders_Table[[#This Row],[Customer ID]],customers!$A$2:$A$1001,customers!$I$2:$I$1001,"",0)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_xlfn.XLOOKUP(Orders_Table[[#This Row],[Customer ID]],customers!$A$2:$A$1001,customers!$I$2:$I$1001,"",0)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_xlfn.XLOOKUP(Orders_Table[[#This Row],[Customer ID]],customers!$A$2:$A$1001,customers!$I$2:$I$1001,"",0)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_xlfn.XLOOKUP(Orders_Table[[#This Row],[Customer ID]],customers!$A$2:$A$1001,customers!$I$2:$I$1001,"",0)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_xlfn.XLOOKUP(Orders_Table[[#This Row],[Customer ID]],customers!$A$2:$A$1001,customers!$I$2:$I$1001,"",0)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_xlfn.XLOOKUP(Orders_Table[[#This Row],[Customer ID]],customers!$A$2:$A$1001,customers!$I$2:$I$1001,"",0)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_xlfn.XLOOKUP(Orders_Table[[#This Row],[Customer ID]],customers!$A$2:$A$1001,customers!$I$2:$I$1001,"",0)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_xlfn.XLOOKUP(Orders_Table[[#This Row],[Customer ID]],customers!$A$2:$A$1001,customers!$I$2:$I$1001,"",0)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_xlfn.XLOOKUP(Orders_Table[[#This Row],[Customer ID]],customers!$A$2:$A$1001,customers!$I$2:$I$1001,"",0)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_xlfn.XLOOKUP(Orders_Table[[#This Row],[Customer ID]],customers!$A$2:$A$1001,customers!$I$2:$I$1001,"",0)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_xlfn.XLOOKUP(Orders_Table[[#This Row],[Customer ID]],customers!$A$2:$A$1001,customers!$I$2:$I$1001,"",0)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_xlfn.XLOOKUP(Orders_Table[[#This Row],[Customer ID]],customers!$A$2:$A$1001,customers!$I$2:$I$1001,"",0)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_xlfn.XLOOKUP(Orders_Table[[#This Row],[Customer ID]],customers!$A$2:$A$1001,customers!$I$2:$I$1001,"",0)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_xlfn.XLOOKUP(Orders_Table[[#This Row],[Customer ID]],customers!$A$2:$A$1001,customers!$I$2:$I$1001,"",0)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_xlfn.XLOOKUP(Orders_Table[[#This Row],[Customer ID]],customers!$A$2:$A$1001,customers!$I$2:$I$1001,"",0)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_xlfn.XLOOKUP(Orders_Table[[#This Row],[Customer ID]],customers!$A$2:$A$1001,customers!$I$2:$I$1001,"",0)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_xlfn.XLOOKUP(Orders_Table[[#This Row],[Customer ID]],customers!$A$2:$A$1001,customers!$I$2:$I$1001,"",0)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_xlfn.XLOOKUP(Orders_Table[[#This Row],[Customer ID]],customers!$A$2:$A$1001,customers!$I$2:$I$1001,"",0)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_xlfn.XLOOKUP(Orders_Table[[#This Row],[Customer ID]],customers!$A$2:$A$1001,customers!$I$2:$I$1001,"",0)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_xlfn.XLOOKUP(Orders_Table[[#This Row],[Customer ID]],customers!$A$2:$A$1001,customers!$I$2:$I$1001,"",0)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_xlfn.XLOOKUP(Orders_Table[[#This Row],[Customer ID]],customers!$A$2:$A$1001,customers!$I$2:$I$1001,"",0)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_xlfn.XLOOKUP(Orders_Table[[#This Row],[Customer ID]],customers!$A$2:$A$1001,customers!$I$2:$I$1001,"",0)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_xlfn.XLOOKUP(Orders_Table[[#This Row],[Customer ID]],customers!$A$2:$A$1001,customers!$I$2:$I$1001,"",0)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_xlfn.XLOOKUP(Orders_Table[[#This Row],[Customer ID]],customers!$A$2:$A$1001,customers!$I$2:$I$1001,"",0)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_xlfn.XLOOKUP(Orders_Table[[#This Row],[Customer ID]],customers!$A$2:$A$1001,customers!$I$2:$I$1001,"",0)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_xlfn.XLOOKUP(Orders_Table[[#This Row],[Customer ID]],customers!$A$2:$A$1001,customers!$I$2:$I$1001,"",0)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_xlfn.XLOOKUP(Orders_Table[[#This Row],[Customer ID]],customers!$A$2:$A$1001,customers!$I$2:$I$1001,"",0)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_xlfn.XLOOKUP(Orders_Table[[#This Row],[Customer ID]],customers!$A$2:$A$1001,customers!$I$2:$I$1001,"",0)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_xlfn.XLOOKUP(Orders_Table[[#This Row],[Customer ID]],customers!$A$2:$A$1001,customers!$I$2:$I$1001,"",0)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_xlfn.XLOOKUP(Orders_Table[[#This Row],[Customer ID]],customers!$A$2:$A$1001,customers!$I$2:$I$1001,"",0)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_xlfn.XLOOKUP(Orders_Table[[#This Row],[Customer ID]],customers!$A$2:$A$1001,customers!$I$2:$I$1001,"",0)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_xlfn.XLOOKUP(Orders_Table[[#This Row],[Customer ID]],customers!$A$2:$A$1001,customers!$I$2:$I$1001,"",0)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_xlfn.XLOOKUP(Orders_Table[[#This Row],[Customer ID]],customers!$A$2:$A$1001,customers!$I$2:$I$1001,"",0)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_xlfn.XLOOKUP(Orders_Table[[#This Row],[Customer ID]],customers!$A$2:$A$1001,customers!$I$2:$I$1001,"",0)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_xlfn.XLOOKUP(Orders_Table[[#This Row],[Customer ID]],customers!$A$2:$A$1001,customers!$I$2:$I$1001,"",0)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_xlfn.XLOOKUP(Orders_Table[[#This Row],[Customer ID]],customers!$A$2:$A$1001,customers!$I$2:$I$1001,"",0)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_xlfn.XLOOKUP(Orders_Table[[#This Row],[Customer ID]],customers!$A$2:$A$1001,customers!$I$2:$I$1001,"",0)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_xlfn.XLOOKUP(Orders_Table[[#This Row],[Customer ID]],customers!$A$2:$A$1001,customers!$I$2:$I$1001,"",0)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_xlfn.XLOOKUP(Orders_Table[[#This Row],[Customer ID]],customers!$A$2:$A$1001,customers!$I$2:$I$1001,"",0)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_xlfn.XLOOKUP(Orders_Table[[#This Row],[Customer ID]],customers!$A$2:$A$1001,customers!$I$2:$I$1001,"",0)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_xlfn.XLOOKUP(Orders_Table[[#This Row],[Customer ID]],customers!$A$2:$A$1001,customers!$I$2:$I$1001,"",0)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_xlfn.XLOOKUP(Orders_Table[[#This Row],[Customer ID]],customers!$A$2:$A$1001,customers!$I$2:$I$1001,"",0)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_xlfn.XLOOKUP(Orders_Table[[#This Row],[Customer ID]],customers!$A$2:$A$1001,customers!$I$2:$I$1001,"",0)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_xlfn.XLOOKUP(Orders_Table[[#This Row],[Customer ID]],customers!$A$2:$A$1001,customers!$I$2:$I$1001,"",0)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_xlfn.XLOOKUP(Orders_Table[[#This Row],[Customer ID]],customers!$A$2:$A$1001,customers!$I$2:$I$1001,"",0)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_xlfn.XLOOKUP(Orders_Table[[#This Row],[Customer ID]],customers!$A$2:$A$1001,customers!$I$2:$I$1001,"",0)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_xlfn.XLOOKUP(Orders_Table[[#This Row],[Customer ID]],customers!$A$2:$A$1001,customers!$I$2:$I$1001,"",0)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_xlfn.XLOOKUP(Orders_Table[[#This Row],[Customer ID]],customers!$A$2:$A$1001,customers!$I$2:$I$1001,"",0)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_xlfn.XLOOKUP(Orders_Table[[#This Row],[Customer ID]],customers!$A$2:$A$1001,customers!$I$2:$I$1001,"",0)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_xlfn.XLOOKUP(Orders_Table[[#This Row],[Customer ID]],customers!$A$2:$A$1001,customers!$I$2:$I$1001,"",0)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_xlfn.XLOOKUP(Orders_Table[[#This Row],[Customer ID]],customers!$A$2:$A$1001,customers!$I$2:$I$1001,"",0)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_xlfn.XLOOKUP(Orders_Table[[#This Row],[Customer ID]],customers!$A$2:$A$1001,customers!$I$2:$I$1001,"",0)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_xlfn.XLOOKUP(Orders_Table[[#This Row],[Customer ID]],customers!$A$2:$A$1001,customers!$I$2:$I$1001,"",0)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_xlfn.XLOOKUP(Orders_Table[[#This Row],[Customer ID]],customers!$A$2:$A$1001,customers!$I$2:$I$1001,"",0)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_xlfn.XLOOKUP(Orders_Table[[#This Row],[Customer ID]],customers!$A$2:$A$1001,customers!$I$2:$I$1001,"",0)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_xlfn.XLOOKUP(Orders_Table[[#This Row],[Customer ID]],customers!$A$2:$A$1001,customers!$I$2:$I$1001,"",0)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_xlfn.XLOOKUP(Orders_Table[[#This Row],[Customer ID]],customers!$A$2:$A$1001,customers!$I$2:$I$1001,"",0)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_xlfn.XLOOKUP(Orders_Table[[#This Row],[Customer ID]],customers!$A$2:$A$1001,customers!$I$2:$I$1001,"",0)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_xlfn.XLOOKUP(Orders_Table[[#This Row],[Customer ID]],customers!$A$2:$A$1001,customers!$I$2:$I$1001,"",0)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_xlfn.XLOOKUP(Orders_Table[[#This Row],[Customer ID]],customers!$A$2:$A$1001,customers!$I$2:$I$1001,"",0)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_xlfn.XLOOKUP(Orders_Table[[#This Row],[Customer ID]],customers!$A$2:$A$1001,customers!$I$2:$I$1001,"",0)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_xlfn.XLOOKUP(Orders_Table[[#This Row],[Customer ID]],customers!$A$2:$A$1001,customers!$I$2:$I$1001,"",0)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 "Excelsa",IF(I835="Ara","Arabica",IF(I835="Lib","Liberica",""))))</f>
        <v>Robusta</v>
      </c>
      <c r="O835" t="str">
        <f t="shared" ref="O835:O898" si="41">IF(J835="M","Medium",IF(J835="L","Light",IF(J835="D","Dark","")))</f>
        <v>Dark</v>
      </c>
      <c r="P835" t="str">
        <f>_xlfn.XLOOKUP(Orders_Table[[#This Row],[Customer ID]],customers!$A$2:$A$1001,customers!$I$2:$I$1001,"",0)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_xlfn.XLOOKUP(Orders_Table[[#This Row],[Customer ID]],customers!$A$2:$A$1001,customers!$I$2:$I$1001,"",0)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_xlfn.XLOOKUP(Orders_Table[[#This Row],[Customer ID]],customers!$A$2:$A$1001,customers!$I$2:$I$1001,"",0)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_xlfn.XLOOKUP(Orders_Table[[#This Row],[Customer ID]],customers!$A$2:$A$1001,customers!$I$2:$I$1001,"",0)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_xlfn.XLOOKUP(Orders_Table[[#This Row],[Customer ID]],customers!$A$2:$A$1001,customers!$I$2:$I$1001,"",0)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_xlfn.XLOOKUP(Orders_Table[[#This Row],[Customer ID]],customers!$A$2:$A$1001,customers!$I$2:$I$1001,"",0)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_xlfn.XLOOKUP(Orders_Table[[#This Row],[Customer ID]],customers!$A$2:$A$1001,customers!$I$2:$I$1001,"",0)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_xlfn.XLOOKUP(Orders_Table[[#This Row],[Customer ID]],customers!$A$2:$A$1001,customers!$I$2:$I$1001,"",0)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_xlfn.XLOOKUP(Orders_Table[[#This Row],[Customer ID]],customers!$A$2:$A$1001,customers!$I$2:$I$1001,"",0)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_xlfn.XLOOKUP(Orders_Table[[#This Row],[Customer ID]],customers!$A$2:$A$1001,customers!$I$2:$I$1001,"",0)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_xlfn.XLOOKUP(Orders_Table[[#This Row],[Customer ID]],customers!$A$2:$A$1001,customers!$I$2:$I$1001,"",0)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_xlfn.XLOOKUP(Orders_Table[[#This Row],[Customer ID]],customers!$A$2:$A$1001,customers!$I$2:$I$1001,"",0)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_xlfn.XLOOKUP(Orders_Table[[#This Row],[Customer ID]],customers!$A$2:$A$1001,customers!$I$2:$I$1001,"",0)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_xlfn.XLOOKUP(Orders_Table[[#This Row],[Customer ID]],customers!$A$2:$A$1001,customers!$I$2:$I$1001,"",0)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_xlfn.XLOOKUP(Orders_Table[[#This Row],[Customer ID]],customers!$A$2:$A$1001,customers!$I$2:$I$1001,"",0)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_xlfn.XLOOKUP(Orders_Table[[#This Row],[Customer ID]],customers!$A$2:$A$1001,customers!$I$2:$I$1001,"",0)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_xlfn.XLOOKUP(Orders_Table[[#This Row],[Customer ID]],customers!$A$2:$A$1001,customers!$I$2:$I$1001,"",0)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_xlfn.XLOOKUP(Orders_Table[[#This Row],[Customer ID]],customers!$A$2:$A$1001,customers!$I$2:$I$1001,"",0)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_xlfn.XLOOKUP(Orders_Table[[#This Row],[Customer ID]],customers!$A$2:$A$1001,customers!$I$2:$I$1001,"",0)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_xlfn.XLOOKUP(Orders_Table[[#This Row],[Customer ID]],customers!$A$2:$A$1001,customers!$I$2:$I$1001,"",0)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_xlfn.XLOOKUP(Orders_Table[[#This Row],[Customer ID]],customers!$A$2:$A$1001,customers!$I$2:$I$1001,"",0)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_xlfn.XLOOKUP(Orders_Table[[#This Row],[Customer ID]],customers!$A$2:$A$1001,customers!$I$2:$I$1001,"",0)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_xlfn.XLOOKUP(Orders_Table[[#This Row],[Customer ID]],customers!$A$2:$A$1001,customers!$I$2:$I$1001,"",0)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_xlfn.XLOOKUP(Orders_Table[[#This Row],[Customer ID]],customers!$A$2:$A$1001,customers!$I$2:$I$1001,"",0)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_xlfn.XLOOKUP(Orders_Table[[#This Row],[Customer ID]],customers!$A$2:$A$1001,customers!$I$2:$I$1001,"",0)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_xlfn.XLOOKUP(Orders_Table[[#This Row],[Customer ID]],customers!$A$2:$A$1001,customers!$I$2:$I$1001,"",0)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_xlfn.XLOOKUP(Orders_Table[[#This Row],[Customer ID]],customers!$A$2:$A$1001,customers!$I$2:$I$1001,"",0)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_xlfn.XLOOKUP(Orders_Table[[#This Row],[Customer ID]],customers!$A$2:$A$1001,customers!$I$2:$I$1001,"",0)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_xlfn.XLOOKUP(Orders_Table[[#This Row],[Customer ID]],customers!$A$2:$A$1001,customers!$I$2:$I$1001,"",0)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_xlfn.XLOOKUP(Orders_Table[[#This Row],[Customer ID]],customers!$A$2:$A$1001,customers!$I$2:$I$1001,"",0)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_xlfn.XLOOKUP(Orders_Table[[#This Row],[Customer ID]],customers!$A$2:$A$1001,customers!$I$2:$I$1001,"",0)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_xlfn.XLOOKUP(Orders_Table[[#This Row],[Customer ID]],customers!$A$2:$A$1001,customers!$I$2:$I$1001,"",0)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_xlfn.XLOOKUP(Orders_Table[[#This Row],[Customer ID]],customers!$A$2:$A$1001,customers!$I$2:$I$1001,"",0)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_xlfn.XLOOKUP(Orders_Table[[#This Row],[Customer ID]],customers!$A$2:$A$1001,customers!$I$2:$I$1001,"",0)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_xlfn.XLOOKUP(Orders_Table[[#This Row],[Customer ID]],customers!$A$2:$A$1001,customers!$I$2:$I$1001,"",0)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_xlfn.XLOOKUP(Orders_Table[[#This Row],[Customer ID]],customers!$A$2:$A$1001,customers!$I$2:$I$1001,"",0)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_xlfn.XLOOKUP(Orders_Table[[#This Row],[Customer ID]],customers!$A$2:$A$1001,customers!$I$2:$I$1001,"",0)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_xlfn.XLOOKUP(Orders_Table[[#This Row],[Customer ID]],customers!$A$2:$A$1001,customers!$I$2:$I$1001,"",0)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_xlfn.XLOOKUP(Orders_Table[[#This Row],[Customer ID]],customers!$A$2:$A$1001,customers!$I$2:$I$1001,"",0)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_xlfn.XLOOKUP(Orders_Table[[#This Row],[Customer ID]],customers!$A$2:$A$1001,customers!$I$2:$I$1001,"",0)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_xlfn.XLOOKUP(Orders_Table[[#This Row],[Customer ID]],customers!$A$2:$A$1001,customers!$I$2:$I$1001,"",0)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_xlfn.XLOOKUP(Orders_Table[[#This Row],[Customer ID]],customers!$A$2:$A$1001,customers!$I$2:$I$1001,"",0)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_xlfn.XLOOKUP(Orders_Table[[#This Row],[Customer ID]],customers!$A$2:$A$1001,customers!$I$2:$I$1001,"",0)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_xlfn.XLOOKUP(Orders_Table[[#This Row],[Customer ID]],customers!$A$2:$A$1001,customers!$I$2:$I$1001,"",0)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_xlfn.XLOOKUP(Orders_Table[[#This Row],[Customer ID]],customers!$A$2:$A$1001,customers!$I$2:$I$1001,"",0)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_xlfn.XLOOKUP(Orders_Table[[#This Row],[Customer ID]],customers!$A$2:$A$1001,customers!$I$2:$I$1001,"",0)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_xlfn.XLOOKUP(Orders_Table[[#This Row],[Customer ID]],customers!$A$2:$A$1001,customers!$I$2:$I$1001,"",0)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_xlfn.XLOOKUP(Orders_Table[[#This Row],[Customer ID]],customers!$A$2:$A$1001,customers!$I$2:$I$1001,"",0)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_xlfn.XLOOKUP(Orders_Table[[#This Row],[Customer ID]],customers!$A$2:$A$1001,customers!$I$2:$I$1001,"",0)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_xlfn.XLOOKUP(Orders_Table[[#This Row],[Customer ID]],customers!$A$2:$A$1001,customers!$I$2:$I$1001,"",0)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_xlfn.XLOOKUP(Orders_Table[[#This Row],[Customer ID]],customers!$A$2:$A$1001,customers!$I$2:$I$1001,"",0)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_xlfn.XLOOKUP(Orders_Table[[#This Row],[Customer ID]],customers!$A$2:$A$1001,customers!$I$2:$I$1001,"",0)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_xlfn.XLOOKUP(Orders_Table[[#This Row],[Customer ID]],customers!$A$2:$A$1001,customers!$I$2:$I$1001,"",0)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_xlfn.XLOOKUP(Orders_Table[[#This Row],[Customer ID]],customers!$A$2:$A$1001,customers!$I$2:$I$1001,"",0)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_xlfn.XLOOKUP(Orders_Table[[#This Row],[Customer ID]],customers!$A$2:$A$1001,customers!$I$2:$I$1001,"",0)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_xlfn.XLOOKUP(Orders_Table[[#This Row],[Customer ID]],customers!$A$2:$A$1001,customers!$I$2:$I$1001,"",0)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_xlfn.XLOOKUP(Orders_Table[[#This Row],[Customer ID]],customers!$A$2:$A$1001,customers!$I$2:$I$1001,"",0)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_xlfn.XLOOKUP(Orders_Table[[#This Row],[Customer ID]],customers!$A$2:$A$1001,customers!$I$2:$I$1001,"",0)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_xlfn.XLOOKUP(Orders_Table[[#This Row],[Customer ID]],customers!$A$2:$A$1001,customers!$I$2:$I$1001,"",0)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_xlfn.XLOOKUP(Orders_Table[[#This Row],[Customer ID]],customers!$A$2:$A$1001,customers!$I$2:$I$1001,"",0)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_xlfn.XLOOKUP(Orders_Table[[#This Row],[Customer ID]],customers!$A$2:$A$1001,customers!$I$2:$I$1001,"",0)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_xlfn.XLOOKUP(Orders_Table[[#This Row],[Customer ID]],customers!$A$2:$A$1001,customers!$I$2:$I$1001,"",0)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_xlfn.XLOOKUP(Orders_Table[[#This Row],[Customer ID]],customers!$A$2:$A$1001,customers!$I$2:$I$1001,"",0)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_xlfn.XLOOKUP(Orders_Table[[#This Row],[Customer ID]],customers!$A$2:$A$1001,customers!$I$2:$I$1001,"",0)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 "Excelsa",IF(I899="Ara","Arabica",IF(I899="Lib","Liberica",""))))</f>
        <v>Excelsa</v>
      </c>
      <c r="O899" t="str">
        <f t="shared" ref="O899:O962" si="44">IF(J899="M","Medium",IF(J899="L","Light",IF(J899="D","Dark","")))</f>
        <v>Dark</v>
      </c>
      <c r="P899" t="str">
        <f>_xlfn.XLOOKUP(Orders_Table[[#This Row],[Customer ID]],customers!$A$2:$A$1001,customers!$I$2:$I$1001,"",0)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_xlfn.XLOOKUP(Orders_Table[[#This Row],[Customer ID]],customers!$A$2:$A$1001,customers!$I$2:$I$1001,"",0)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_xlfn.XLOOKUP(Orders_Table[[#This Row],[Customer ID]],customers!$A$2:$A$1001,customers!$I$2:$I$1001,"",0)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_xlfn.XLOOKUP(Orders_Table[[#This Row],[Customer ID]],customers!$A$2:$A$1001,customers!$I$2:$I$1001,"",0)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_xlfn.XLOOKUP(Orders_Table[[#This Row],[Customer ID]],customers!$A$2:$A$1001,customers!$I$2:$I$1001,"",0)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_xlfn.XLOOKUP(Orders_Table[[#This Row],[Customer ID]],customers!$A$2:$A$1001,customers!$I$2:$I$1001,"",0)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_xlfn.XLOOKUP(Orders_Table[[#This Row],[Customer ID]],customers!$A$2:$A$1001,customers!$I$2:$I$1001,"",0)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_xlfn.XLOOKUP(Orders_Table[[#This Row],[Customer ID]],customers!$A$2:$A$1001,customers!$I$2:$I$1001,"",0)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_xlfn.XLOOKUP(Orders_Table[[#This Row],[Customer ID]],customers!$A$2:$A$1001,customers!$I$2:$I$1001,"",0)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_xlfn.XLOOKUP(Orders_Table[[#This Row],[Customer ID]],customers!$A$2:$A$1001,customers!$I$2:$I$1001,"",0)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_xlfn.XLOOKUP(Orders_Table[[#This Row],[Customer ID]],customers!$A$2:$A$1001,customers!$I$2:$I$1001,"",0)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_xlfn.XLOOKUP(Orders_Table[[#This Row],[Customer ID]],customers!$A$2:$A$1001,customers!$I$2:$I$1001,"",0)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_xlfn.XLOOKUP(Orders_Table[[#This Row],[Customer ID]],customers!$A$2:$A$1001,customers!$I$2:$I$1001,"",0)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_xlfn.XLOOKUP(Orders_Table[[#This Row],[Customer ID]],customers!$A$2:$A$1001,customers!$I$2:$I$1001,"",0)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_xlfn.XLOOKUP(Orders_Table[[#This Row],[Customer ID]],customers!$A$2:$A$1001,customers!$I$2:$I$1001,"",0)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_xlfn.XLOOKUP(Orders_Table[[#This Row],[Customer ID]],customers!$A$2:$A$1001,customers!$I$2:$I$1001,"",0)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_xlfn.XLOOKUP(Orders_Table[[#This Row],[Customer ID]],customers!$A$2:$A$1001,customers!$I$2:$I$1001,"",0)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_xlfn.XLOOKUP(Orders_Table[[#This Row],[Customer ID]],customers!$A$2:$A$1001,customers!$I$2:$I$1001,"",0)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_xlfn.XLOOKUP(Orders_Table[[#This Row],[Customer ID]],customers!$A$2:$A$1001,customers!$I$2:$I$1001,"",0)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_xlfn.XLOOKUP(Orders_Table[[#This Row],[Customer ID]],customers!$A$2:$A$1001,customers!$I$2:$I$1001,"",0)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_xlfn.XLOOKUP(Orders_Table[[#This Row],[Customer ID]],customers!$A$2:$A$1001,customers!$I$2:$I$1001,"",0)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_xlfn.XLOOKUP(Orders_Table[[#This Row],[Customer ID]],customers!$A$2:$A$1001,customers!$I$2:$I$1001,"",0)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_xlfn.XLOOKUP(Orders_Table[[#This Row],[Customer ID]],customers!$A$2:$A$1001,customers!$I$2:$I$1001,"",0)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_xlfn.XLOOKUP(Orders_Table[[#This Row],[Customer ID]],customers!$A$2:$A$1001,customers!$I$2:$I$1001,"",0)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_xlfn.XLOOKUP(Orders_Table[[#This Row],[Customer ID]],customers!$A$2:$A$1001,customers!$I$2:$I$1001,"",0)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_xlfn.XLOOKUP(Orders_Table[[#This Row],[Customer ID]],customers!$A$2:$A$1001,customers!$I$2:$I$1001,"",0)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_xlfn.XLOOKUP(Orders_Table[[#This Row],[Customer ID]],customers!$A$2:$A$1001,customers!$I$2:$I$1001,"",0)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_xlfn.XLOOKUP(Orders_Table[[#This Row],[Customer ID]],customers!$A$2:$A$1001,customers!$I$2:$I$1001,"",0)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_xlfn.XLOOKUP(Orders_Table[[#This Row],[Customer ID]],customers!$A$2:$A$1001,customers!$I$2:$I$1001,"",0)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_xlfn.XLOOKUP(Orders_Table[[#This Row],[Customer ID]],customers!$A$2:$A$1001,customers!$I$2:$I$1001,"",0)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_xlfn.XLOOKUP(Orders_Table[[#This Row],[Customer ID]],customers!$A$2:$A$1001,customers!$I$2:$I$1001,"",0)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_xlfn.XLOOKUP(Orders_Table[[#This Row],[Customer ID]],customers!$A$2:$A$1001,customers!$I$2:$I$1001,"",0)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_xlfn.XLOOKUP(Orders_Table[[#This Row],[Customer ID]],customers!$A$2:$A$1001,customers!$I$2:$I$1001,"",0)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_xlfn.XLOOKUP(Orders_Table[[#This Row],[Customer ID]],customers!$A$2:$A$1001,customers!$I$2:$I$1001,"",0)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_xlfn.XLOOKUP(Orders_Table[[#This Row],[Customer ID]],customers!$A$2:$A$1001,customers!$I$2:$I$1001,"",0)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_xlfn.XLOOKUP(Orders_Table[[#This Row],[Customer ID]],customers!$A$2:$A$1001,customers!$I$2:$I$1001,"",0)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_xlfn.XLOOKUP(Orders_Table[[#This Row],[Customer ID]],customers!$A$2:$A$1001,customers!$I$2:$I$1001,"",0)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_xlfn.XLOOKUP(Orders_Table[[#This Row],[Customer ID]],customers!$A$2:$A$1001,customers!$I$2:$I$1001,"",0)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_xlfn.XLOOKUP(Orders_Table[[#This Row],[Customer ID]],customers!$A$2:$A$1001,customers!$I$2:$I$1001,"",0)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_xlfn.XLOOKUP(Orders_Table[[#This Row],[Customer ID]],customers!$A$2:$A$1001,customers!$I$2:$I$1001,"",0)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_xlfn.XLOOKUP(Orders_Table[[#This Row],[Customer ID]],customers!$A$2:$A$1001,customers!$I$2:$I$1001,"",0)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_xlfn.XLOOKUP(Orders_Table[[#This Row],[Customer ID]],customers!$A$2:$A$1001,customers!$I$2:$I$1001,"",0)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_xlfn.XLOOKUP(Orders_Table[[#This Row],[Customer ID]],customers!$A$2:$A$1001,customers!$I$2:$I$1001,"",0)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_xlfn.XLOOKUP(Orders_Table[[#This Row],[Customer ID]],customers!$A$2:$A$1001,customers!$I$2:$I$1001,"",0)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_xlfn.XLOOKUP(Orders_Table[[#This Row],[Customer ID]],customers!$A$2:$A$1001,customers!$I$2:$I$1001,"",0)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_xlfn.XLOOKUP(Orders_Table[[#This Row],[Customer ID]],customers!$A$2:$A$1001,customers!$I$2:$I$1001,"",0)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_xlfn.XLOOKUP(Orders_Table[[#This Row],[Customer ID]],customers!$A$2:$A$1001,customers!$I$2:$I$1001,"",0)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_xlfn.XLOOKUP(Orders_Table[[#This Row],[Customer ID]],customers!$A$2:$A$1001,customers!$I$2:$I$1001,"",0)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_xlfn.XLOOKUP(Orders_Table[[#This Row],[Customer ID]],customers!$A$2:$A$1001,customers!$I$2:$I$1001,"",0)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_xlfn.XLOOKUP(Orders_Table[[#This Row],[Customer ID]],customers!$A$2:$A$1001,customers!$I$2:$I$1001,"",0)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_xlfn.XLOOKUP(Orders_Table[[#This Row],[Customer ID]],customers!$A$2:$A$1001,customers!$I$2:$I$1001,"",0)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_xlfn.XLOOKUP(Orders_Table[[#This Row],[Customer ID]],customers!$A$2:$A$1001,customers!$I$2:$I$1001,"",0)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_xlfn.XLOOKUP(Orders_Table[[#This Row],[Customer ID]],customers!$A$2:$A$1001,customers!$I$2:$I$1001,"",0)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_xlfn.XLOOKUP(Orders_Table[[#This Row],[Customer ID]],customers!$A$2:$A$1001,customers!$I$2:$I$1001,"",0)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_xlfn.XLOOKUP(Orders_Table[[#This Row],[Customer ID]],customers!$A$2:$A$1001,customers!$I$2:$I$1001,"",0)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_xlfn.XLOOKUP(Orders_Table[[#This Row],[Customer ID]],customers!$A$2:$A$1001,customers!$I$2:$I$1001,"",0)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_xlfn.XLOOKUP(Orders_Table[[#This Row],[Customer ID]],customers!$A$2:$A$1001,customers!$I$2:$I$1001,"",0)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_xlfn.XLOOKUP(Orders_Table[[#This Row],[Customer ID]],customers!$A$2:$A$1001,customers!$I$2:$I$1001,"",0)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_xlfn.XLOOKUP(Orders_Table[[#This Row],[Customer ID]],customers!$A$2:$A$1001,customers!$I$2:$I$1001,"",0)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_xlfn.XLOOKUP(Orders_Table[[#This Row],[Customer ID]],customers!$A$2:$A$1001,customers!$I$2:$I$1001,"",0)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_xlfn.XLOOKUP(Orders_Table[[#This Row],[Customer ID]],customers!$A$2:$A$1001,customers!$I$2:$I$1001,"",0)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_xlfn.XLOOKUP(Orders_Table[[#This Row],[Customer ID]],customers!$A$2:$A$1001,customers!$I$2:$I$1001,"",0)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_xlfn.XLOOKUP(Orders_Table[[#This Row],[Customer ID]],customers!$A$2:$A$1001,customers!$I$2:$I$1001,"",0)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_xlfn.XLOOKUP(Orders_Table[[#This Row],[Customer ID]],customers!$A$2:$A$1001,customers!$I$2:$I$1001,"",0)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 "Excelsa",IF(I963="Ara","Arabica",IF(I963="Lib","Liberica",""))))</f>
        <v>Arabica</v>
      </c>
      <c r="O963" t="str">
        <f t="shared" ref="O963:O1001" si="47">IF(J963="M","Medium",IF(J963="L","Light",IF(J963="D","Dark","")))</f>
        <v>Dark</v>
      </c>
      <c r="P963" t="str">
        <f>_xlfn.XLOOKUP(Orders_Table[[#This Row],[Customer ID]],customers!$A$2:$A$1001,customers!$I$2:$I$1001,"",0)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_xlfn.XLOOKUP(Orders_Table[[#This Row],[Customer ID]],customers!$A$2:$A$1001,customers!$I$2:$I$1001,"",0)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_xlfn.XLOOKUP(Orders_Table[[#This Row],[Customer ID]],customers!$A$2:$A$1001,customers!$I$2:$I$1001,"",0)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_xlfn.XLOOKUP(Orders_Table[[#This Row],[Customer ID]],customers!$A$2:$A$1001,customers!$I$2:$I$1001,"",0)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_xlfn.XLOOKUP(Orders_Table[[#This Row],[Customer ID]],customers!$A$2:$A$1001,customers!$I$2:$I$1001,"",0)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_xlfn.XLOOKUP(Orders_Table[[#This Row],[Customer ID]],customers!$A$2:$A$1001,customers!$I$2:$I$1001,"",0)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_xlfn.XLOOKUP(Orders_Table[[#This Row],[Customer ID]],customers!$A$2:$A$1001,customers!$I$2:$I$1001,"",0)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_xlfn.XLOOKUP(Orders_Table[[#This Row],[Customer ID]],customers!$A$2:$A$1001,customers!$I$2:$I$1001,"",0)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_xlfn.XLOOKUP(Orders_Table[[#This Row],[Customer ID]],customers!$A$2:$A$1001,customers!$I$2:$I$1001,"",0)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_xlfn.XLOOKUP(Orders_Table[[#This Row],[Customer ID]],customers!$A$2:$A$1001,customers!$I$2:$I$1001,"",0)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_xlfn.XLOOKUP(Orders_Table[[#This Row],[Customer ID]],customers!$A$2:$A$1001,customers!$I$2:$I$1001,"",0)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_xlfn.XLOOKUP(Orders_Table[[#This Row],[Customer ID]],customers!$A$2:$A$1001,customers!$I$2:$I$1001,"",0)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_xlfn.XLOOKUP(Orders_Table[[#This Row],[Customer ID]],customers!$A$2:$A$1001,customers!$I$2:$I$1001,"",0)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_xlfn.XLOOKUP(Orders_Table[[#This Row],[Customer ID]],customers!$A$2:$A$1001,customers!$I$2:$I$1001,"",0)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_xlfn.XLOOKUP(Orders_Table[[#This Row],[Customer ID]],customers!$A$2:$A$1001,customers!$I$2:$I$1001,"",0)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_xlfn.XLOOKUP(Orders_Table[[#This Row],[Customer ID]],customers!$A$2:$A$1001,customers!$I$2:$I$1001,"",0)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_xlfn.XLOOKUP(Orders_Table[[#This Row],[Customer ID]],customers!$A$2:$A$1001,customers!$I$2:$I$1001,"",0)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_xlfn.XLOOKUP(Orders_Table[[#This Row],[Customer ID]],customers!$A$2:$A$1001,customers!$I$2:$I$1001,"",0)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_xlfn.XLOOKUP(Orders_Table[[#This Row],[Customer ID]],customers!$A$2:$A$1001,customers!$I$2:$I$1001,"",0)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_xlfn.XLOOKUP(Orders_Table[[#This Row],[Customer ID]],customers!$A$2:$A$1001,customers!$I$2:$I$1001,"",0)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_xlfn.XLOOKUP(Orders_Table[[#This Row],[Customer ID]],customers!$A$2:$A$1001,customers!$I$2:$I$1001,"",0)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_xlfn.XLOOKUP(Orders_Table[[#This Row],[Customer ID]],customers!$A$2:$A$1001,customers!$I$2:$I$1001,"",0)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_xlfn.XLOOKUP(Orders_Table[[#This Row],[Customer ID]],customers!$A$2:$A$1001,customers!$I$2:$I$1001,"",0)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_xlfn.XLOOKUP(Orders_Table[[#This Row],[Customer ID]],customers!$A$2:$A$1001,customers!$I$2:$I$1001,"",0)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_xlfn.XLOOKUP(Orders_Table[[#This Row],[Customer ID]],customers!$A$2:$A$1001,customers!$I$2:$I$1001,"",0)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_xlfn.XLOOKUP(Orders_Table[[#This Row],[Customer ID]],customers!$A$2:$A$1001,customers!$I$2:$I$1001,"",0)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_xlfn.XLOOKUP(Orders_Table[[#This Row],[Customer ID]],customers!$A$2:$A$1001,customers!$I$2:$I$1001,"",0)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_xlfn.XLOOKUP(Orders_Table[[#This Row],[Customer ID]],customers!$A$2:$A$1001,customers!$I$2:$I$1001,"",0)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_xlfn.XLOOKUP(Orders_Table[[#This Row],[Customer ID]],customers!$A$2:$A$1001,customers!$I$2:$I$1001,"",0)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_xlfn.XLOOKUP(Orders_Table[[#This Row],[Customer ID]],customers!$A$2:$A$1001,customers!$I$2:$I$1001,"",0)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_xlfn.XLOOKUP(Orders_Table[[#This Row],[Customer ID]],customers!$A$2:$A$1001,customers!$I$2:$I$1001,"",0)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_xlfn.XLOOKUP(Orders_Table[[#This Row],[Customer ID]],customers!$A$2:$A$1001,customers!$I$2:$I$1001,"",0)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_xlfn.XLOOKUP(Orders_Table[[#This Row],[Customer ID]],customers!$A$2:$A$1001,customers!$I$2:$I$1001,"",0)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_xlfn.XLOOKUP(Orders_Table[[#This Row],[Customer ID]],customers!$A$2:$A$1001,customers!$I$2:$I$1001,"",0)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_xlfn.XLOOKUP(Orders_Table[[#This Row],[Customer ID]],customers!$A$2:$A$1001,customers!$I$2:$I$1001,"",0)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_xlfn.XLOOKUP(Orders_Table[[#This Row],[Customer ID]],customers!$A$2:$A$1001,customers!$I$2:$I$1001,"",0)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_xlfn.XLOOKUP(Orders_Table[[#This Row],[Customer ID]],customers!$A$2:$A$1001,customers!$I$2:$I$1001,"",0)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_xlfn.XLOOKUP(Orders_Table[[#This Row],[Customer ID]],customers!$A$2:$A$1001,customers!$I$2:$I$1001,"",0)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_xlfn.XLOOKUP(Orders_Table[[#This Row],[Customer ID]],customers!$A$2:$A$1001,customers!$I$2:$I$1001,"",0)</f>
        <v>Yes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93" zoomScaleNormal="100" zoomScalePageLayoutView="55" workbookViewId="0">
      <selection activeCell="E1024" sqref="E1024"/>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L21" sqref="L2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2AFF-9F2D-4A05-9BA9-C16FBA89B4FE}">
  <dimension ref="A1"/>
  <sheetViews>
    <sheetView showGridLines="0" showRowColHeaders="0" tabSelected="1" zoomScale="85" zoomScaleNormal="85" workbookViewId="0">
      <selection activeCell="O40" sqref="O40"/>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Total_Sales</vt:lpstr>
      <vt:lpstr>Total_Sales_Value</vt:lpstr>
      <vt:lpstr>Top_Cofee</vt:lpstr>
      <vt:lpstr>Top_Month</vt:lpstr>
      <vt:lpstr>Total _Customer</vt:lpstr>
      <vt:lpstr>Country_Bar_Chart</vt:lpstr>
      <vt:lpstr>Customer_Bar_Char</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Zubaidatul Zannat Meem</cp:lastModifiedBy>
  <cp:revision/>
  <dcterms:created xsi:type="dcterms:W3CDTF">2022-11-26T09:51:45Z</dcterms:created>
  <dcterms:modified xsi:type="dcterms:W3CDTF">2026-09-07T08:45:40Z</dcterms:modified>
  <cp:category/>
  <cp:contentStatus/>
</cp:coreProperties>
</file>